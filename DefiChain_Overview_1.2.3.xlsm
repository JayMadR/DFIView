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/>
  <bookViews>
    <workbookView xWindow="0" yWindow="0" windowWidth="28800" windowHeight="10800" tabRatio="609"/>
  </bookViews>
  <sheets>
    <sheet name="myLT" sheetId="12" r:id="rId1"/>
    <sheet name="myVault" sheetId="17" r:id="rId2"/>
    <sheet name="AuctionCalc" sheetId="13" r:id="rId3"/>
    <sheet name="PoolPairs" sheetId="15" r:id="rId4"/>
    <sheet name="Prices" sheetId="16" r:id="rId5"/>
    <sheet name="Stats" sheetId="18" r:id="rId6"/>
    <sheet name="Address" sheetId="20" r:id="rId7"/>
    <sheet name="BTCEur" sheetId="21" r:id="rId8"/>
    <sheet name="Vaults" sheetId="22" r:id="rId9"/>
    <sheet name="VaultCalc" sheetId="23" r:id="rId10"/>
    <sheet name="Data1" sheetId="11" r:id="rId11"/>
    <sheet name="Data2" sheetId="19" r:id="rId12"/>
  </sheets>
  <functionGroups builtInGroupCount="18"/>
  <calcPr calcId="162913"/>
</workbook>
</file>

<file path=xl/calcChain.xml><?xml version="1.0" encoding="utf-8"?>
<calcChain xmlns="http://schemas.openxmlformats.org/spreadsheetml/2006/main">
  <c r="L9" i="13" l="1"/>
  <c r="K9" i="13"/>
  <c r="J9" i="13"/>
  <c r="I9" i="13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9" i="17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Q29" i="12" l="1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28" i="12"/>
  <c r="S39" i="12"/>
  <c r="S40" i="12"/>
  <c r="S41" i="12"/>
  <c r="S42" i="12"/>
  <c r="S43" i="12"/>
  <c r="S44" i="12"/>
  <c r="S45" i="12"/>
  <c r="S46" i="12"/>
  <c r="S47" i="12"/>
  <c r="H34" i="12"/>
  <c r="M34" i="12"/>
  <c r="N34" i="12"/>
  <c r="O34" i="12"/>
  <c r="H35" i="12"/>
  <c r="M35" i="12"/>
  <c r="N35" i="12"/>
  <c r="O35" i="12"/>
  <c r="H36" i="12"/>
  <c r="M36" i="12"/>
  <c r="N36" i="12"/>
  <c r="O36" i="12"/>
  <c r="H37" i="12"/>
  <c r="M37" i="12"/>
  <c r="N37" i="12"/>
  <c r="O37" i="12"/>
  <c r="H38" i="12"/>
  <c r="M38" i="12"/>
  <c r="N38" i="12"/>
  <c r="O38" i="12"/>
  <c r="H39" i="12"/>
  <c r="M39" i="12"/>
  <c r="N39" i="12"/>
  <c r="O39" i="12"/>
  <c r="H40" i="12"/>
  <c r="M40" i="12"/>
  <c r="N40" i="12"/>
  <c r="O40" i="12"/>
  <c r="H41" i="12"/>
  <c r="M41" i="12"/>
  <c r="N41" i="12"/>
  <c r="O41" i="12"/>
  <c r="H42" i="12"/>
  <c r="M42" i="12"/>
  <c r="N42" i="12"/>
  <c r="O42" i="12"/>
  <c r="H43" i="12"/>
  <c r="M43" i="12"/>
  <c r="N43" i="12"/>
  <c r="O43" i="12"/>
  <c r="H44" i="12"/>
  <c r="M44" i="12"/>
  <c r="N44" i="12"/>
  <c r="O44" i="12"/>
  <c r="H45" i="12"/>
  <c r="M45" i="12"/>
  <c r="N45" i="12"/>
  <c r="O45" i="12"/>
  <c r="H46" i="12"/>
  <c r="M46" i="12"/>
  <c r="N46" i="12"/>
  <c r="O46" i="12"/>
  <c r="H47" i="12"/>
  <c r="M47" i="12"/>
  <c r="N47" i="12"/>
  <c r="O47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E38" i="12"/>
  <c r="E39" i="12"/>
  <c r="E40" i="12"/>
  <c r="E41" i="12"/>
  <c r="E42" i="12"/>
  <c r="E43" i="12"/>
  <c r="E44" i="12"/>
  <c r="E45" i="12"/>
  <c r="E46" i="12"/>
  <c r="E47" i="12"/>
  <c r="J39" i="12" l="1"/>
  <c r="I39" i="12" s="1"/>
  <c r="J45" i="12"/>
  <c r="I45" i="12" s="1"/>
  <c r="J40" i="12"/>
  <c r="I40" i="12" s="1"/>
  <c r="J46" i="12"/>
  <c r="I46" i="12" s="1"/>
  <c r="J47" i="12"/>
  <c r="I47" i="12" s="1"/>
  <c r="J41" i="12"/>
  <c r="I41" i="12" s="1"/>
  <c r="J38" i="12"/>
  <c r="I38" i="12" s="1"/>
  <c r="J44" i="12"/>
  <c r="I44" i="12" s="1"/>
  <c r="J43" i="12"/>
  <c r="I43" i="12" s="1"/>
  <c r="T42" i="12"/>
  <c r="X42" i="12" s="1"/>
  <c r="T47" i="12"/>
  <c r="X47" i="12" s="1"/>
  <c r="T41" i="12"/>
  <c r="X41" i="12" s="1"/>
  <c r="J42" i="12"/>
  <c r="I42" i="12" s="1"/>
  <c r="T44" i="12"/>
  <c r="X44" i="12" s="1"/>
  <c r="K45" i="12"/>
  <c r="L45" i="12" s="1"/>
  <c r="T45" i="12"/>
  <c r="X45" i="12" s="1"/>
  <c r="T39" i="12"/>
  <c r="X39" i="12" s="1"/>
  <c r="T46" i="12"/>
  <c r="X46" i="12" s="1"/>
  <c r="T43" i="12"/>
  <c r="T40" i="12"/>
  <c r="X40" i="12" s="1"/>
  <c r="K39" i="12" l="1"/>
  <c r="L39" i="12" s="1"/>
  <c r="K46" i="12"/>
  <c r="L46" i="12" s="1"/>
  <c r="K40" i="12"/>
  <c r="L40" i="12" s="1"/>
  <c r="K41" i="12"/>
  <c r="L41" i="12" s="1"/>
  <c r="K47" i="12"/>
  <c r="L47" i="12" s="1"/>
  <c r="K38" i="12"/>
  <c r="L38" i="12" s="1"/>
  <c r="K44" i="12"/>
  <c r="L44" i="12" s="1"/>
  <c r="K43" i="12"/>
  <c r="L43" i="12" s="1"/>
  <c r="K42" i="12"/>
  <c r="L42" i="12" s="1"/>
  <c r="X43" i="12"/>
  <c r="G9" i="17" l="1"/>
  <c r="B5" i="17"/>
  <c r="S31" i="12" l="1"/>
  <c r="S32" i="12"/>
  <c r="S33" i="12"/>
  <c r="S34" i="12"/>
  <c r="S35" i="12"/>
  <c r="S36" i="12"/>
  <c r="S37" i="12"/>
  <c r="S38" i="12"/>
  <c r="E4" i="12"/>
  <c r="E11" i="13" l="1"/>
  <c r="D11" i="13"/>
  <c r="C11" i="13"/>
  <c r="C17" i="11" l="1"/>
  <c r="E17" i="11" s="1"/>
  <c r="E12" i="11"/>
  <c r="D12" i="11"/>
  <c r="C13" i="11"/>
  <c r="C14" i="11" s="1"/>
  <c r="D13" i="11" l="1"/>
  <c r="E13" i="11"/>
  <c r="C15" i="11"/>
  <c r="C19" i="11" s="1"/>
  <c r="D14" i="11"/>
  <c r="E14" i="11"/>
  <c r="D17" i="11"/>
  <c r="C16" i="11" l="1"/>
  <c r="C18" i="11"/>
  <c r="D18" i="11"/>
  <c r="E18" i="11"/>
  <c r="D19" i="11"/>
  <c r="E19" i="11"/>
  <c r="D16" i="11"/>
  <c r="E16" i="11"/>
  <c r="D15" i="11"/>
  <c r="E15" i="11"/>
  <c r="C8" i="12"/>
  <c r="G24" i="17" l="1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C19" i="17"/>
  <c r="C18" i="17"/>
  <c r="I24" i="17"/>
  <c r="H24" i="17"/>
  <c r="I23" i="17"/>
  <c r="H23" i="17"/>
  <c r="I22" i="17"/>
  <c r="H22" i="17"/>
  <c r="I21" i="17"/>
  <c r="H21" i="17"/>
  <c r="I20" i="17"/>
  <c r="H20" i="17"/>
  <c r="I19" i="17"/>
  <c r="H19" i="17"/>
  <c r="I18" i="17"/>
  <c r="H18" i="17"/>
  <c r="I17" i="17"/>
  <c r="H17" i="17"/>
  <c r="I16" i="17"/>
  <c r="H16" i="17"/>
  <c r="I15" i="17"/>
  <c r="H15" i="17"/>
  <c r="I14" i="17"/>
  <c r="H14" i="17"/>
  <c r="I13" i="17"/>
  <c r="H13" i="17"/>
  <c r="I12" i="17"/>
  <c r="H12" i="17"/>
  <c r="H11" i="17"/>
  <c r="I11" i="17"/>
  <c r="I10" i="17"/>
  <c r="H10" i="17"/>
  <c r="I9" i="17"/>
  <c r="H9" i="17"/>
  <c r="J14" i="17" l="1"/>
  <c r="J17" i="17"/>
  <c r="O23" i="17"/>
  <c r="J20" i="17"/>
  <c r="J18" i="17"/>
  <c r="J24" i="17"/>
  <c r="J10" i="17"/>
  <c r="J13" i="17"/>
  <c r="J16" i="17"/>
  <c r="J19" i="17"/>
  <c r="J22" i="17"/>
  <c r="J15" i="17"/>
  <c r="J21" i="17"/>
  <c r="J23" i="17"/>
  <c r="J12" i="17"/>
  <c r="J11" i="17"/>
  <c r="J9" i="17"/>
  <c r="O21" i="17"/>
  <c r="O17" i="17"/>
  <c r="O15" i="17"/>
  <c r="O19" i="17"/>
  <c r="O24" i="17"/>
  <c r="O18" i="17"/>
  <c r="O22" i="17"/>
  <c r="O16" i="17"/>
  <c r="O13" i="17"/>
  <c r="O20" i="17"/>
  <c r="O14" i="17"/>
  <c r="O12" i="17"/>
  <c r="F3" i="18"/>
  <c r="G3" i="18"/>
  <c r="H3" i="18"/>
  <c r="E3" i="18"/>
  <c r="D3" i="18"/>
  <c r="S21" i="12"/>
  <c r="S22" i="12" l="1"/>
  <c r="S23" i="12"/>
  <c r="S24" i="12"/>
  <c r="S25" i="12"/>
  <c r="S26" i="12"/>
  <c r="S27" i="12"/>
  <c r="S28" i="12"/>
  <c r="S29" i="12"/>
  <c r="S30" i="12"/>
  <c r="I5" i="11" l="1"/>
  <c r="I10" i="11" s="1"/>
  <c r="I6" i="11"/>
  <c r="N2" i="12"/>
  <c r="J6" i="11" l="1"/>
  <c r="Q27" i="12" s="1"/>
  <c r="J4" i="11"/>
  <c r="Q22" i="12" s="1"/>
  <c r="J7" i="11"/>
  <c r="Q23" i="12" s="1"/>
  <c r="J8" i="11"/>
  <c r="Q24" i="12" s="1"/>
  <c r="J9" i="11"/>
  <c r="Q25" i="12" s="1"/>
  <c r="J5" i="11"/>
  <c r="Q26" i="12" s="1"/>
  <c r="J3" i="11"/>
  <c r="Q21" i="12" s="1"/>
  <c r="E39" i="11" l="1"/>
  <c r="G39" i="11"/>
  <c r="H39" i="11"/>
  <c r="I39" i="11"/>
  <c r="J39" i="11"/>
  <c r="F39" i="11"/>
  <c r="D37" i="11"/>
  <c r="K58" i="1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E11" i="17" s="1"/>
  <c r="G22" i="19"/>
  <c r="D11" i="17" s="1"/>
  <c r="G21" i="19"/>
  <c r="G20" i="19"/>
  <c r="G19" i="19"/>
  <c r="G18" i="19"/>
  <c r="G17" i="19"/>
  <c r="G16" i="19"/>
  <c r="G15" i="19"/>
  <c r="G14" i="19"/>
  <c r="G13" i="19"/>
  <c r="G12" i="19"/>
  <c r="C11" i="17" s="1"/>
  <c r="G11" i="19"/>
  <c r="D40" i="11"/>
  <c r="E40" i="11" s="1"/>
  <c r="B40" i="1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l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514" i="11" s="1"/>
  <c r="B515" i="11" s="1"/>
  <c r="B516" i="11" s="1"/>
  <c r="B517" i="11" s="1"/>
  <c r="B518" i="11" s="1"/>
  <c r="B519" i="11" s="1"/>
  <c r="B520" i="11" s="1"/>
  <c r="B521" i="11" s="1"/>
  <c r="B522" i="11" s="1"/>
  <c r="B523" i="11" s="1"/>
  <c r="B524" i="11" s="1"/>
  <c r="B525" i="11" s="1"/>
  <c r="B526" i="11" s="1"/>
  <c r="B527" i="11" s="1"/>
  <c r="B528" i="11" s="1"/>
  <c r="H40" i="11"/>
  <c r="F40" i="11"/>
  <c r="G40" i="11"/>
  <c r="J40" i="11"/>
  <c r="I40" i="11"/>
  <c r="D41" i="11"/>
  <c r="O22" i="12"/>
  <c r="O23" i="12"/>
  <c r="O24" i="12"/>
  <c r="O25" i="12"/>
  <c r="O26" i="12"/>
  <c r="O27" i="12"/>
  <c r="O28" i="12"/>
  <c r="O29" i="12"/>
  <c r="O30" i="12"/>
  <c r="O31" i="12"/>
  <c r="O32" i="12"/>
  <c r="O33" i="12"/>
  <c r="O21" i="12"/>
  <c r="N4" i="12"/>
  <c r="M5" i="12" s="1"/>
  <c r="N3" i="12" s="1"/>
  <c r="M4" i="12"/>
  <c r="N3" i="17"/>
  <c r="N2" i="17"/>
  <c r="E12" i="17" s="1"/>
  <c r="O10" i="17"/>
  <c r="O11" i="17"/>
  <c r="O9" i="17"/>
  <c r="B11" i="17"/>
  <c r="D42" i="11" l="1"/>
  <c r="J41" i="11"/>
  <c r="F41" i="11"/>
  <c r="G41" i="11"/>
  <c r="H41" i="11"/>
  <c r="I41" i="11"/>
  <c r="M3" i="12"/>
  <c r="C21" i="17"/>
  <c r="E41" i="11"/>
  <c r="B12" i="17"/>
  <c r="C12" i="17"/>
  <c r="D43" i="11" l="1"/>
  <c r="F42" i="11"/>
  <c r="I42" i="11"/>
  <c r="G42" i="11"/>
  <c r="H42" i="11"/>
  <c r="J42" i="11"/>
  <c r="D21" i="17"/>
  <c r="E42" i="11"/>
  <c r="D44" i="11" l="1"/>
  <c r="F43" i="11"/>
  <c r="G43" i="11"/>
  <c r="H43" i="11"/>
  <c r="I43" i="11"/>
  <c r="J43" i="11"/>
  <c r="E43" i="11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1" i="12"/>
  <c r="N22" i="12"/>
  <c r="T22" i="12" s="1"/>
  <c r="N23" i="12"/>
  <c r="N24" i="12"/>
  <c r="N25" i="12"/>
  <c r="N26" i="12"/>
  <c r="T26" i="12" s="1"/>
  <c r="N27" i="12"/>
  <c r="N28" i="12"/>
  <c r="T28" i="12" s="1"/>
  <c r="N29" i="12"/>
  <c r="N30" i="12"/>
  <c r="N31" i="12"/>
  <c r="N32" i="12"/>
  <c r="N33" i="12"/>
  <c r="N21" i="12"/>
  <c r="T21" i="12" s="1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J35" i="12" s="1"/>
  <c r="E36" i="12"/>
  <c r="J36" i="12" s="1"/>
  <c r="E37" i="12"/>
  <c r="J37" i="12" s="1"/>
  <c r="E21" i="12"/>
  <c r="J34" i="12" l="1"/>
  <c r="I34" i="12" s="1"/>
  <c r="I37" i="12"/>
  <c r="K37" i="12"/>
  <c r="L37" i="12" s="1"/>
  <c r="I35" i="12"/>
  <c r="K35" i="12"/>
  <c r="L35" i="12" s="1"/>
  <c r="I36" i="12"/>
  <c r="K36" i="12"/>
  <c r="L36" i="12" s="1"/>
  <c r="Y47" i="12"/>
  <c r="Y44" i="12"/>
  <c r="Y39" i="12"/>
  <c r="Y41" i="12"/>
  <c r="Y42" i="12"/>
  <c r="Y45" i="12"/>
  <c r="Y46" i="12"/>
  <c r="Y40" i="12"/>
  <c r="Y43" i="12"/>
  <c r="D45" i="11"/>
  <c r="G44" i="11"/>
  <c r="H44" i="11"/>
  <c r="I44" i="11"/>
  <c r="J44" i="11"/>
  <c r="F44" i="11"/>
  <c r="E15" i="13"/>
  <c r="E44" i="11"/>
  <c r="T29" i="12"/>
  <c r="W29" i="12" s="1"/>
  <c r="T23" i="12"/>
  <c r="X23" i="12" s="1"/>
  <c r="T33" i="12"/>
  <c r="T27" i="12"/>
  <c r="X27" i="12" s="1"/>
  <c r="T35" i="12"/>
  <c r="T38" i="12"/>
  <c r="T32" i="12"/>
  <c r="T37" i="12"/>
  <c r="T31" i="12"/>
  <c r="T25" i="12"/>
  <c r="X25" i="12" s="1"/>
  <c r="T34" i="12"/>
  <c r="T36" i="12"/>
  <c r="T30" i="12"/>
  <c r="T24" i="12"/>
  <c r="X24" i="12" s="1"/>
  <c r="J25" i="12"/>
  <c r="I25" i="12" s="1"/>
  <c r="J31" i="12"/>
  <c r="I31" i="12" s="1"/>
  <c r="J29" i="12"/>
  <c r="I29" i="12" s="1"/>
  <c r="J23" i="12"/>
  <c r="I23" i="12" s="1"/>
  <c r="J28" i="12"/>
  <c r="K28" i="12" s="1"/>
  <c r="L28" i="12" s="1"/>
  <c r="J22" i="12"/>
  <c r="I22" i="12" s="1"/>
  <c r="J21" i="12"/>
  <c r="I21" i="12" s="1"/>
  <c r="J33" i="12"/>
  <c r="I33" i="12" s="1"/>
  <c r="J27" i="12"/>
  <c r="I27" i="12" s="1"/>
  <c r="J32" i="12"/>
  <c r="I32" i="12" s="1"/>
  <c r="J26" i="12"/>
  <c r="I26" i="12" s="1"/>
  <c r="J30" i="12"/>
  <c r="I30" i="12" s="1"/>
  <c r="J24" i="12"/>
  <c r="I24" i="12" s="1"/>
  <c r="W28" i="12"/>
  <c r="W22" i="12"/>
  <c r="W21" i="12"/>
  <c r="W26" i="12"/>
  <c r="K34" i="12" l="1"/>
  <c r="L34" i="12" s="1"/>
  <c r="K22" i="12"/>
  <c r="L22" i="12" s="1"/>
  <c r="K23" i="12"/>
  <c r="L23" i="12" s="1"/>
  <c r="D46" i="11"/>
  <c r="H45" i="11"/>
  <c r="I45" i="11"/>
  <c r="F45" i="11"/>
  <c r="J45" i="11"/>
  <c r="G45" i="11"/>
  <c r="X29" i="12"/>
  <c r="Y29" i="12" s="1"/>
  <c r="X38" i="12"/>
  <c r="Y38" i="12" s="1"/>
  <c r="X35" i="12"/>
  <c r="Y35" i="12" s="1"/>
  <c r="X32" i="12"/>
  <c r="Y32" i="12" s="1"/>
  <c r="X31" i="12"/>
  <c r="Y31" i="12" s="1"/>
  <c r="X33" i="12"/>
  <c r="Y33" i="12" s="1"/>
  <c r="X36" i="12"/>
  <c r="Y36" i="12" s="1"/>
  <c r="X30" i="12"/>
  <c r="Y30" i="12" s="1"/>
  <c r="X34" i="12"/>
  <c r="Y34" i="12" s="1"/>
  <c r="X37" i="12"/>
  <c r="Y37" i="12" s="1"/>
  <c r="W24" i="12"/>
  <c r="Y24" i="12" s="1"/>
  <c r="W23" i="12"/>
  <c r="Y23" i="12" s="1"/>
  <c r="W27" i="12"/>
  <c r="Y27" i="12" s="1"/>
  <c r="W25" i="12"/>
  <c r="Y25" i="12" s="1"/>
  <c r="C15" i="13"/>
  <c r="E45" i="11"/>
  <c r="K31" i="12"/>
  <c r="L31" i="12" s="1"/>
  <c r="K21" i="12"/>
  <c r="L21" i="12" s="1"/>
  <c r="K24" i="12"/>
  <c r="L24" i="12" s="1"/>
  <c r="K27" i="12"/>
  <c r="L27" i="12" s="1"/>
  <c r="K30" i="12"/>
  <c r="L30" i="12" s="1"/>
  <c r="K33" i="12"/>
  <c r="L33" i="12" s="1"/>
  <c r="K26" i="12"/>
  <c r="L26" i="12" s="1"/>
  <c r="K29" i="12"/>
  <c r="L29" i="12" s="1"/>
  <c r="K32" i="12"/>
  <c r="L32" i="12" s="1"/>
  <c r="K25" i="12"/>
  <c r="L25" i="12" s="1"/>
  <c r="I28" i="12"/>
  <c r="X26" i="12"/>
  <c r="Y26" i="12" s="1"/>
  <c r="X28" i="12"/>
  <c r="Y28" i="12" s="1"/>
  <c r="X22" i="12"/>
  <c r="Y22" i="12" s="1"/>
  <c r="X21" i="12"/>
  <c r="Y21" i="12" s="1"/>
  <c r="J14" i="13"/>
  <c r="J15" i="13"/>
  <c r="L15" i="13" s="1"/>
  <c r="J16" i="13"/>
  <c r="J17" i="13"/>
  <c r="J18" i="13"/>
  <c r="B11" i="13"/>
  <c r="AA29" i="12" l="1"/>
  <c r="AB29" i="12" s="1"/>
  <c r="D47" i="11"/>
  <c r="I46" i="11"/>
  <c r="J46" i="11"/>
  <c r="G46" i="11"/>
  <c r="F46" i="11"/>
  <c r="H46" i="11"/>
  <c r="E46" i="11"/>
  <c r="B13" i="17"/>
  <c r="D12" i="17"/>
  <c r="L14" i="13"/>
  <c r="L18" i="13"/>
  <c r="L17" i="13"/>
  <c r="L16" i="13"/>
  <c r="B13" i="13"/>
  <c r="B14" i="13" s="1"/>
  <c r="Z39" i="12" l="1"/>
  <c r="Z42" i="12"/>
  <c r="Z45" i="12"/>
  <c r="Z44" i="12"/>
  <c r="Z41" i="12"/>
  <c r="Z47" i="12"/>
  <c r="Z40" i="12"/>
  <c r="Z43" i="12"/>
  <c r="Z46" i="12"/>
  <c r="D23" i="17"/>
  <c r="C14" i="12" s="1"/>
  <c r="Z34" i="12"/>
  <c r="Z33" i="12"/>
  <c r="Z35" i="12"/>
  <c r="Z36" i="12"/>
  <c r="Z37" i="12"/>
  <c r="Z29" i="12"/>
  <c r="Z32" i="12"/>
  <c r="Z31" i="12"/>
  <c r="Z38" i="12"/>
  <c r="Z30" i="12"/>
  <c r="D48" i="11"/>
  <c r="J47" i="11"/>
  <c r="F47" i="11"/>
  <c r="G47" i="11"/>
  <c r="H47" i="11"/>
  <c r="I47" i="11"/>
  <c r="E47" i="11"/>
  <c r="B15" i="17"/>
  <c r="C20" i="17" s="1"/>
  <c r="C22" i="17" s="1"/>
  <c r="B14" i="17"/>
  <c r="E16" i="13"/>
  <c r="C16" i="13"/>
  <c r="C17" i="13" s="1"/>
  <c r="D49" i="11" l="1"/>
  <c r="F48" i="11"/>
  <c r="I48" i="11"/>
  <c r="G48" i="11"/>
  <c r="H48" i="11"/>
  <c r="J48" i="11"/>
  <c r="B10" i="17"/>
  <c r="E10" i="17"/>
  <c r="C10" i="17"/>
  <c r="D10" i="17"/>
  <c r="D18" i="13"/>
  <c r="E48" i="11"/>
  <c r="E17" i="13"/>
  <c r="D50" i="11" l="1"/>
  <c r="F49" i="11"/>
  <c r="G49" i="11"/>
  <c r="J49" i="11"/>
  <c r="H49" i="11"/>
  <c r="I49" i="11"/>
  <c r="E49" i="11"/>
  <c r="D51" i="11" l="1"/>
  <c r="G50" i="11"/>
  <c r="H50" i="11"/>
  <c r="I50" i="11"/>
  <c r="J50" i="11"/>
  <c r="F50" i="11"/>
  <c r="E50" i="11"/>
  <c r="AA21" i="12"/>
  <c r="C12" i="12"/>
  <c r="C10" i="12" l="1"/>
  <c r="H7" i="12" s="1"/>
  <c r="Z25" i="12"/>
  <c r="Z21" i="12"/>
  <c r="Z26" i="12"/>
  <c r="Z28" i="12"/>
  <c r="Z24" i="12"/>
  <c r="Z22" i="12"/>
  <c r="Z23" i="12"/>
  <c r="Z27" i="12"/>
  <c r="D52" i="11"/>
  <c r="H51" i="11"/>
  <c r="I51" i="11"/>
  <c r="F51" i="11"/>
  <c r="J51" i="11"/>
  <c r="G51" i="11"/>
  <c r="E51" i="11"/>
  <c r="H11" i="12" l="1"/>
  <c r="H9" i="12" s="1"/>
  <c r="D53" i="11"/>
  <c r="I52" i="11"/>
  <c r="J52" i="11"/>
  <c r="F52" i="11"/>
  <c r="G52" i="11"/>
  <c r="H52" i="11"/>
  <c r="E52" i="11"/>
  <c r="H13" i="12" l="1"/>
  <c r="D54" i="11"/>
  <c r="J53" i="11"/>
  <c r="H53" i="11"/>
  <c r="F53" i="11"/>
  <c r="G53" i="11"/>
  <c r="I53" i="11"/>
  <c r="E53" i="11"/>
  <c r="D55" i="11" l="1"/>
  <c r="F54" i="11"/>
  <c r="G54" i="11"/>
  <c r="H54" i="11"/>
  <c r="I54" i="11"/>
  <c r="J54" i="11"/>
  <c r="E54" i="11"/>
  <c r="D56" i="11" l="1"/>
  <c r="F55" i="11"/>
  <c r="G55" i="11"/>
  <c r="J55" i="11"/>
  <c r="H55" i="11"/>
  <c r="I55" i="11"/>
  <c r="E55" i="11"/>
  <c r="D57" i="11" l="1"/>
  <c r="G56" i="11"/>
  <c r="H56" i="11"/>
  <c r="I56" i="11"/>
  <c r="J56" i="11"/>
  <c r="F56" i="11"/>
  <c r="E56" i="11"/>
  <c r="D58" i="11" l="1"/>
  <c r="H57" i="11"/>
  <c r="I57" i="11"/>
  <c r="J57" i="11"/>
  <c r="F57" i="11"/>
  <c r="G57" i="11"/>
  <c r="E57" i="11"/>
  <c r="D59" i="11" l="1"/>
  <c r="I58" i="11"/>
  <c r="P28" i="12" s="1"/>
  <c r="J58" i="11"/>
  <c r="G58" i="11"/>
  <c r="F58" i="11"/>
  <c r="P21" i="12" s="1"/>
  <c r="H58" i="11"/>
  <c r="E58" i="11"/>
  <c r="R41" i="12" l="1"/>
  <c r="U41" i="12" s="1"/>
  <c r="V41" i="12" s="1"/>
  <c r="R42" i="12"/>
  <c r="U42" i="12" s="1"/>
  <c r="V42" i="12" s="1"/>
  <c r="R44" i="12"/>
  <c r="U44" i="12" s="1"/>
  <c r="V44" i="12" s="1"/>
  <c r="R43" i="12"/>
  <c r="U43" i="12" s="1"/>
  <c r="V43" i="12" s="1"/>
  <c r="R46" i="12"/>
  <c r="U46" i="12" s="1"/>
  <c r="V46" i="12" s="1"/>
  <c r="R47" i="12"/>
  <c r="U47" i="12" s="1"/>
  <c r="V47" i="12" s="1"/>
  <c r="R45" i="12"/>
  <c r="U45" i="12" s="1"/>
  <c r="V45" i="12" s="1"/>
  <c r="R23" i="12"/>
  <c r="U23" i="12" s="1"/>
  <c r="V23" i="12" s="1"/>
  <c r="R25" i="12"/>
  <c r="U25" i="12" s="1"/>
  <c r="V25" i="12" s="1"/>
  <c r="R22" i="12"/>
  <c r="U22" i="12" s="1"/>
  <c r="V22" i="12" s="1"/>
  <c r="R26" i="12"/>
  <c r="U26" i="12" s="1"/>
  <c r="V26" i="12" s="1"/>
  <c r="R24" i="12"/>
  <c r="U24" i="12" s="1"/>
  <c r="V24" i="12" s="1"/>
  <c r="R21" i="12"/>
  <c r="U21" i="12" s="1"/>
  <c r="R27" i="12"/>
  <c r="U27" i="12" s="1"/>
  <c r="V27" i="12" s="1"/>
  <c r="R34" i="12"/>
  <c r="U34" i="12" s="1"/>
  <c r="V34" i="12" s="1"/>
  <c r="R38" i="12"/>
  <c r="U38" i="12" s="1"/>
  <c r="V38" i="12" s="1"/>
  <c r="R36" i="12"/>
  <c r="U36" i="12" s="1"/>
  <c r="V36" i="12" s="1"/>
  <c r="R29" i="12"/>
  <c r="U29" i="12" s="1"/>
  <c r="V29" i="12" s="1"/>
  <c r="R28" i="12"/>
  <c r="U28" i="12" s="1"/>
  <c r="V28" i="12" s="1"/>
  <c r="R33" i="12"/>
  <c r="U33" i="12" s="1"/>
  <c r="V33" i="12" s="1"/>
  <c r="R32" i="12"/>
  <c r="U32" i="12" s="1"/>
  <c r="V32" i="12" s="1"/>
  <c r="R40" i="12"/>
  <c r="U40" i="12" s="1"/>
  <c r="V40" i="12" s="1"/>
  <c r="R31" i="12"/>
  <c r="U31" i="12" s="1"/>
  <c r="V31" i="12" s="1"/>
  <c r="R39" i="12"/>
  <c r="U39" i="12" s="1"/>
  <c r="V39" i="12" s="1"/>
  <c r="R35" i="12"/>
  <c r="U35" i="12" s="1"/>
  <c r="V35" i="12" s="1"/>
  <c r="R30" i="12"/>
  <c r="U30" i="12" s="1"/>
  <c r="V30" i="12" s="1"/>
  <c r="R37" i="12"/>
  <c r="U37" i="12" s="1"/>
  <c r="V37" i="12" s="1"/>
  <c r="D60" i="11"/>
  <c r="J59" i="11"/>
  <c r="F59" i="11"/>
  <c r="G59" i="11"/>
  <c r="H59" i="11"/>
  <c r="I59" i="11"/>
  <c r="E59" i="11"/>
  <c r="V21" i="12" l="1"/>
  <c r="M8" i="12"/>
  <c r="D61" i="11"/>
  <c r="F60" i="11"/>
  <c r="I60" i="11"/>
  <c r="G60" i="11"/>
  <c r="H60" i="11"/>
  <c r="J60" i="11"/>
  <c r="E60" i="11"/>
  <c r="M15" i="12" l="1"/>
  <c r="M9" i="12"/>
  <c r="M14" i="12"/>
  <c r="N14" i="12" s="1"/>
  <c r="M11" i="12"/>
  <c r="N11" i="12" s="1"/>
  <c r="M10" i="12"/>
  <c r="N10" i="12" s="1"/>
  <c r="M12" i="12"/>
  <c r="N12" i="12" s="1"/>
  <c r="M13" i="12"/>
  <c r="N8" i="12"/>
  <c r="N15" i="12"/>
  <c r="N17" i="12"/>
  <c r="D62" i="11"/>
  <c r="F61" i="11"/>
  <c r="G61" i="11"/>
  <c r="H61" i="11"/>
  <c r="I61" i="11"/>
  <c r="J61" i="11"/>
  <c r="E61" i="11"/>
  <c r="N9" i="12" l="1"/>
  <c r="D63" i="11"/>
  <c r="G62" i="11"/>
  <c r="H62" i="11"/>
  <c r="I62" i="11"/>
  <c r="J62" i="11"/>
  <c r="F62" i="11"/>
  <c r="E62" i="11"/>
  <c r="D64" i="11" l="1"/>
  <c r="H63" i="11"/>
  <c r="I63" i="11"/>
  <c r="F63" i="11"/>
  <c r="J63" i="11"/>
  <c r="G63" i="11"/>
  <c r="E63" i="11"/>
  <c r="N13" i="12" l="1"/>
  <c r="D65" i="11"/>
  <c r="I64" i="11"/>
  <c r="G64" i="11"/>
  <c r="J64" i="11"/>
  <c r="F64" i="11"/>
  <c r="H64" i="11"/>
  <c r="E64" i="11"/>
  <c r="D66" i="11" l="1"/>
  <c r="J65" i="11"/>
  <c r="F65" i="11"/>
  <c r="G65" i="11"/>
  <c r="H65" i="11"/>
  <c r="I65" i="11"/>
  <c r="E66" i="11"/>
  <c r="E65" i="11"/>
  <c r="F66" i="11" l="1"/>
  <c r="I66" i="11"/>
  <c r="G66" i="11"/>
  <c r="H66" i="11"/>
  <c r="D67" i="11"/>
  <c r="J66" i="11"/>
  <c r="E67" i="11" l="1"/>
  <c r="F67" i="11"/>
  <c r="G67" i="11"/>
  <c r="J67" i="11"/>
  <c r="H67" i="11"/>
  <c r="I67" i="11"/>
  <c r="D68" i="11"/>
  <c r="G68" i="11" l="1"/>
  <c r="H68" i="11"/>
  <c r="I68" i="11"/>
  <c r="J68" i="11"/>
  <c r="F68" i="11"/>
  <c r="D69" i="11"/>
  <c r="E68" i="11"/>
  <c r="H69" i="11" l="1"/>
  <c r="I69" i="11"/>
  <c r="J69" i="11"/>
  <c r="F69" i="11"/>
  <c r="G69" i="11"/>
  <c r="D70" i="11"/>
  <c r="E69" i="11"/>
  <c r="I70" i="11" l="1"/>
  <c r="G70" i="11"/>
  <c r="J70" i="11"/>
  <c r="F70" i="11"/>
  <c r="H70" i="11"/>
  <c r="E70" i="11"/>
  <c r="D71" i="11"/>
  <c r="J71" i="11" l="1"/>
  <c r="H71" i="11"/>
  <c r="F71" i="11"/>
  <c r="G71" i="11"/>
  <c r="I71" i="11"/>
  <c r="D72" i="11"/>
  <c r="E71" i="11"/>
  <c r="F72" i="11" l="1"/>
  <c r="G72" i="11"/>
  <c r="H72" i="11"/>
  <c r="I72" i="11"/>
  <c r="J72" i="11"/>
  <c r="E72" i="11"/>
  <c r="D73" i="11"/>
  <c r="F73" i="11" l="1"/>
  <c r="J73" i="11"/>
  <c r="G73" i="11"/>
  <c r="H73" i="11"/>
  <c r="I73" i="11"/>
  <c r="E73" i="11"/>
  <c r="D74" i="11"/>
  <c r="G74" i="11" l="1"/>
  <c r="H74" i="11"/>
  <c r="I74" i="11"/>
  <c r="J74" i="11"/>
  <c r="F74" i="11"/>
  <c r="E74" i="11"/>
  <c r="D75" i="11"/>
  <c r="H75" i="11" l="1"/>
  <c r="I75" i="11"/>
  <c r="F75" i="11"/>
  <c r="J75" i="11"/>
  <c r="G75" i="11"/>
  <c r="D76" i="11"/>
  <c r="E75" i="11"/>
  <c r="I76" i="11" l="1"/>
  <c r="J76" i="11"/>
  <c r="F76" i="11"/>
  <c r="G76" i="11"/>
  <c r="H76" i="11"/>
  <c r="D77" i="11"/>
  <c r="E76" i="11"/>
  <c r="J77" i="11" l="1"/>
  <c r="H77" i="11"/>
  <c r="F77" i="11"/>
  <c r="G77" i="11"/>
  <c r="I77" i="11"/>
  <c r="E77" i="11"/>
  <c r="D78" i="11"/>
  <c r="F78" i="11" l="1"/>
  <c r="I78" i="11"/>
  <c r="G78" i="11"/>
  <c r="H78" i="11"/>
  <c r="J78" i="11"/>
  <c r="E78" i="11"/>
  <c r="D79" i="11"/>
  <c r="F79" i="11" l="1"/>
  <c r="G79" i="11"/>
  <c r="H79" i="11"/>
  <c r="I79" i="11"/>
  <c r="J79" i="11"/>
  <c r="D80" i="11"/>
  <c r="E79" i="11"/>
  <c r="G80" i="11" l="1"/>
  <c r="H80" i="11"/>
  <c r="I80" i="11"/>
  <c r="J80" i="11"/>
  <c r="F80" i="11"/>
  <c r="D81" i="11"/>
  <c r="E80" i="11"/>
  <c r="H81" i="11" l="1"/>
  <c r="F81" i="11"/>
  <c r="I81" i="11"/>
  <c r="J81" i="11"/>
  <c r="G81" i="11"/>
  <c r="D82" i="11"/>
  <c r="E81" i="11"/>
  <c r="I82" i="11" l="1"/>
  <c r="J82" i="11"/>
  <c r="G82" i="11"/>
  <c r="F82" i="11"/>
  <c r="H82" i="11"/>
  <c r="D83" i="11"/>
  <c r="E82" i="11"/>
  <c r="J83" i="11" l="1"/>
  <c r="F83" i="11"/>
  <c r="G83" i="11"/>
  <c r="H83" i="11"/>
  <c r="I83" i="11"/>
  <c r="E83" i="11"/>
  <c r="D84" i="11"/>
  <c r="I84" i="11" l="1"/>
  <c r="F84" i="11"/>
  <c r="G84" i="11"/>
  <c r="H84" i="11"/>
  <c r="J84" i="11"/>
  <c r="E84" i="11"/>
  <c r="D85" i="11"/>
  <c r="F85" i="11" l="1"/>
  <c r="G85" i="11"/>
  <c r="J85" i="11"/>
  <c r="H85" i="11"/>
  <c r="I85" i="11"/>
  <c r="E85" i="11"/>
  <c r="D86" i="11"/>
  <c r="G86" i="11" l="1"/>
  <c r="H86" i="11"/>
  <c r="I86" i="11"/>
  <c r="J86" i="11"/>
  <c r="F86" i="11"/>
  <c r="E86" i="11"/>
  <c r="D87" i="11"/>
  <c r="H87" i="11" l="1"/>
  <c r="I87" i="11"/>
  <c r="J87" i="11"/>
  <c r="F87" i="11"/>
  <c r="G87" i="11"/>
  <c r="D88" i="11"/>
  <c r="E87" i="11"/>
  <c r="I88" i="11" l="1"/>
  <c r="G88" i="11"/>
  <c r="J88" i="11"/>
  <c r="F88" i="11"/>
  <c r="H88" i="11"/>
  <c r="D89" i="11"/>
  <c r="E88" i="11"/>
  <c r="J89" i="11" l="1"/>
  <c r="H89" i="11"/>
  <c r="F89" i="11"/>
  <c r="G89" i="11"/>
  <c r="I89" i="11"/>
  <c r="E89" i="11"/>
  <c r="D90" i="11"/>
  <c r="F90" i="11" l="1"/>
  <c r="G90" i="11"/>
  <c r="H90" i="11"/>
  <c r="I90" i="11"/>
  <c r="J90" i="11"/>
  <c r="D91" i="11"/>
  <c r="E90" i="11"/>
  <c r="F91" i="11" l="1"/>
  <c r="G91" i="11"/>
  <c r="H91" i="11"/>
  <c r="I91" i="11"/>
  <c r="J91" i="11"/>
  <c r="E91" i="11"/>
  <c r="D92" i="11"/>
  <c r="G92" i="11" l="1"/>
  <c r="H92" i="11"/>
  <c r="I92" i="11"/>
  <c r="J92" i="11"/>
  <c r="F92" i="11"/>
  <c r="E92" i="11"/>
  <c r="D93" i="11"/>
  <c r="H93" i="11" l="1"/>
  <c r="F93" i="11"/>
  <c r="I93" i="11"/>
  <c r="J93" i="11"/>
  <c r="G93" i="11"/>
  <c r="E93" i="11"/>
  <c r="D94" i="11"/>
  <c r="I94" i="11" l="1"/>
  <c r="J94" i="11"/>
  <c r="G94" i="11"/>
  <c r="F94" i="11"/>
  <c r="H94" i="11"/>
  <c r="D95" i="11"/>
  <c r="E94" i="11"/>
  <c r="J95" i="11" l="1"/>
  <c r="F95" i="11"/>
  <c r="G95" i="11"/>
  <c r="H95" i="11"/>
  <c r="I95" i="11"/>
  <c r="E95" i="11"/>
  <c r="D96" i="11"/>
  <c r="I96" i="11" l="1"/>
  <c r="F96" i="11"/>
  <c r="G96" i="11"/>
  <c r="H96" i="11"/>
  <c r="J96" i="11"/>
  <c r="E96" i="11"/>
  <c r="D97" i="11"/>
  <c r="F97" i="11" l="1"/>
  <c r="G97" i="11"/>
  <c r="J97" i="11"/>
  <c r="H97" i="11"/>
  <c r="I97" i="11"/>
  <c r="E97" i="11"/>
  <c r="D98" i="11"/>
  <c r="G98" i="11" l="1"/>
  <c r="H98" i="11"/>
  <c r="I98" i="11"/>
  <c r="J98" i="11"/>
  <c r="F98" i="11"/>
  <c r="E98" i="11"/>
  <c r="D99" i="11"/>
  <c r="H99" i="11" l="1"/>
  <c r="I99" i="11"/>
  <c r="J99" i="11"/>
  <c r="F99" i="11"/>
  <c r="G99" i="11"/>
  <c r="E99" i="11"/>
  <c r="D100" i="11"/>
  <c r="I100" i="11" l="1"/>
  <c r="G100" i="11"/>
  <c r="J100" i="11"/>
  <c r="F100" i="11"/>
  <c r="H100" i="11"/>
  <c r="D101" i="11"/>
  <c r="E100" i="11"/>
  <c r="E101" i="11" l="1"/>
  <c r="D102" i="11"/>
  <c r="H101" i="11"/>
  <c r="F101" i="11"/>
  <c r="I101" i="11"/>
  <c r="J101" i="11"/>
  <c r="G101" i="11"/>
  <c r="I102" i="11" l="1"/>
  <c r="D103" i="11"/>
  <c r="F102" i="11"/>
  <c r="G102" i="11"/>
  <c r="H102" i="11"/>
  <c r="J102" i="11"/>
  <c r="E102" i="11"/>
  <c r="J103" i="11" l="1"/>
  <c r="E103" i="11"/>
  <c r="F103" i="11"/>
  <c r="G103" i="11"/>
  <c r="D104" i="11"/>
  <c r="H103" i="11"/>
  <c r="I103" i="11"/>
  <c r="I104" i="11" l="1"/>
  <c r="G104" i="11"/>
  <c r="E104" i="11"/>
  <c r="F104" i="11"/>
  <c r="J104" i="11"/>
  <c r="D105" i="11"/>
  <c r="H104" i="11"/>
  <c r="H105" i="11" l="1"/>
  <c r="J105" i="11"/>
  <c r="G105" i="11"/>
  <c r="D106" i="11"/>
  <c r="I105" i="11"/>
  <c r="E105" i="11"/>
  <c r="F105" i="11"/>
  <c r="J106" i="11" l="1"/>
  <c r="H106" i="11"/>
  <c r="G106" i="11"/>
  <c r="E106" i="11"/>
  <c r="D107" i="11"/>
  <c r="F106" i="11"/>
  <c r="I106" i="11"/>
  <c r="I107" i="11" l="1"/>
  <c r="F107" i="11"/>
  <c r="G107" i="11"/>
  <c r="D108" i="11"/>
  <c r="J107" i="11"/>
  <c r="E107" i="11"/>
  <c r="H107" i="11"/>
  <c r="F108" i="11" l="1"/>
  <c r="E108" i="11"/>
  <c r="H108" i="11"/>
  <c r="J108" i="11"/>
  <c r="G108" i="11"/>
  <c r="D109" i="11"/>
  <c r="I108" i="11"/>
  <c r="F109" i="11" l="1"/>
  <c r="G109" i="11"/>
  <c r="D110" i="11"/>
  <c r="H109" i="11"/>
  <c r="J109" i="11"/>
  <c r="I109" i="11"/>
  <c r="E109" i="11"/>
  <c r="H110" i="11" l="1"/>
  <c r="G110" i="11"/>
  <c r="D111" i="11"/>
  <c r="I110" i="11"/>
  <c r="E110" i="11"/>
  <c r="J110" i="11"/>
  <c r="F110" i="11"/>
  <c r="D112" i="11" l="1"/>
  <c r="H111" i="11"/>
  <c r="J111" i="11"/>
  <c r="F111" i="11"/>
  <c r="I111" i="11"/>
  <c r="E111" i="11"/>
  <c r="G111" i="11"/>
  <c r="J112" i="11" l="1"/>
  <c r="G112" i="11"/>
  <c r="F112" i="11"/>
  <c r="E112" i="11"/>
  <c r="D113" i="11"/>
  <c r="H112" i="11"/>
  <c r="I112" i="11"/>
  <c r="D114" i="11" l="1"/>
  <c r="H113" i="11"/>
  <c r="J113" i="11"/>
  <c r="I113" i="11"/>
  <c r="E113" i="11"/>
  <c r="F113" i="11"/>
  <c r="G113" i="11"/>
  <c r="D115" i="11" l="1"/>
  <c r="E114" i="11"/>
  <c r="H114" i="11"/>
  <c r="G114" i="11"/>
  <c r="F114" i="11"/>
  <c r="J114" i="11"/>
  <c r="I114" i="11"/>
  <c r="E115" i="11" l="1"/>
  <c r="H115" i="11"/>
  <c r="J115" i="11"/>
  <c r="I115" i="11"/>
  <c r="F115" i="11"/>
  <c r="G115" i="11"/>
  <c r="D116" i="11"/>
  <c r="J116" i="11" l="1"/>
  <c r="G116" i="11"/>
  <c r="D117" i="11"/>
  <c r="E116" i="11"/>
  <c r="H116" i="11"/>
  <c r="F116" i="11"/>
  <c r="I116" i="11"/>
  <c r="E117" i="11" l="1"/>
  <c r="D118" i="11"/>
  <c r="H117" i="11"/>
  <c r="J117" i="11"/>
  <c r="I117" i="11"/>
  <c r="G117" i="11"/>
  <c r="F117" i="11"/>
  <c r="D119" i="11" l="1"/>
  <c r="E118" i="11"/>
  <c r="J118" i="11"/>
  <c r="G118" i="11"/>
  <c r="H118" i="11"/>
  <c r="F118" i="11"/>
  <c r="I118" i="11"/>
  <c r="E119" i="11" l="1"/>
  <c r="H119" i="11"/>
  <c r="J119" i="11"/>
  <c r="F119" i="11"/>
  <c r="G119" i="11"/>
  <c r="I119" i="11"/>
  <c r="D120" i="11"/>
  <c r="D121" i="11" l="1"/>
  <c r="E120" i="11"/>
  <c r="H120" i="11"/>
  <c r="F120" i="11"/>
  <c r="I120" i="11"/>
  <c r="J120" i="11"/>
  <c r="G120" i="11"/>
  <c r="E121" i="11" l="1"/>
  <c r="J121" i="11"/>
  <c r="F121" i="11"/>
  <c r="G121" i="11"/>
  <c r="H121" i="11"/>
  <c r="I121" i="11"/>
  <c r="D122" i="11"/>
  <c r="D123" i="11" l="1"/>
  <c r="E122" i="11"/>
  <c r="I122" i="11"/>
  <c r="H122" i="11"/>
  <c r="F122" i="11"/>
  <c r="J122" i="11"/>
  <c r="G122" i="11"/>
  <c r="E123" i="11" l="1"/>
  <c r="H123" i="11"/>
  <c r="I123" i="11"/>
  <c r="J123" i="11"/>
  <c r="G123" i="11"/>
  <c r="F123" i="11"/>
  <c r="D124" i="11"/>
  <c r="D125" i="11" l="1"/>
  <c r="E124" i="11"/>
  <c r="F124" i="11"/>
  <c r="H124" i="11"/>
  <c r="I124" i="11"/>
  <c r="J124" i="11"/>
  <c r="G124" i="11"/>
  <c r="E125" i="11" l="1"/>
  <c r="H125" i="11"/>
  <c r="J125" i="11"/>
  <c r="I125" i="11"/>
  <c r="F125" i="11"/>
  <c r="D126" i="11"/>
  <c r="G125" i="11"/>
  <c r="D127" i="11" l="1"/>
  <c r="E126" i="11"/>
  <c r="I126" i="11"/>
  <c r="H126" i="11"/>
  <c r="J126" i="11"/>
  <c r="G126" i="11"/>
  <c r="F126" i="11"/>
  <c r="E127" i="11" l="1"/>
  <c r="H127" i="11"/>
  <c r="J127" i="11"/>
  <c r="I127" i="11"/>
  <c r="F127" i="11"/>
  <c r="D128" i="11"/>
  <c r="G127" i="11"/>
  <c r="D129" i="11" l="1"/>
  <c r="E128" i="11"/>
  <c r="H128" i="11"/>
  <c r="I128" i="11"/>
  <c r="G128" i="11"/>
  <c r="F128" i="11"/>
  <c r="J128" i="11"/>
  <c r="E129" i="11" l="1"/>
  <c r="H129" i="11"/>
  <c r="J129" i="11"/>
  <c r="I129" i="11"/>
  <c r="F129" i="11"/>
  <c r="G129" i="11"/>
  <c r="D130" i="11"/>
  <c r="E130" i="11" l="1"/>
  <c r="H130" i="11"/>
  <c r="F130" i="11"/>
  <c r="I130" i="11"/>
  <c r="J130" i="11"/>
  <c r="G130" i="11"/>
  <c r="D131" i="11"/>
  <c r="E131" i="11" l="1"/>
  <c r="J131" i="11"/>
  <c r="F131" i="11"/>
  <c r="H131" i="11"/>
  <c r="I131" i="11"/>
  <c r="G131" i="11"/>
  <c r="D132" i="11"/>
  <c r="D133" i="11" l="1"/>
  <c r="E132" i="11"/>
  <c r="J132" i="11"/>
  <c r="H132" i="11"/>
  <c r="F132" i="11"/>
  <c r="I132" i="11"/>
  <c r="G132" i="11"/>
  <c r="E133" i="11" l="1"/>
  <c r="H133" i="11"/>
  <c r="J133" i="11"/>
  <c r="I133" i="11"/>
  <c r="F133" i="11"/>
  <c r="G133" i="11"/>
  <c r="D134" i="11"/>
  <c r="D135" i="11" l="1"/>
  <c r="E134" i="11"/>
  <c r="H134" i="11"/>
  <c r="G134" i="11"/>
  <c r="F134" i="11"/>
  <c r="J134" i="11"/>
  <c r="I134" i="11"/>
  <c r="E135" i="11" l="1"/>
  <c r="H135" i="11"/>
  <c r="J135" i="11"/>
  <c r="I135" i="11"/>
  <c r="D136" i="11"/>
  <c r="G135" i="11"/>
  <c r="F135" i="11"/>
  <c r="D137" i="11" l="1"/>
  <c r="E136" i="11"/>
  <c r="H136" i="11"/>
  <c r="F136" i="11"/>
  <c r="J136" i="11"/>
  <c r="I136" i="11"/>
  <c r="G136" i="11"/>
  <c r="E137" i="11" l="1"/>
  <c r="H137" i="11"/>
  <c r="J137" i="11"/>
  <c r="I137" i="11"/>
  <c r="F137" i="11"/>
  <c r="G137" i="11"/>
  <c r="D138" i="11"/>
  <c r="D139" i="11" l="1"/>
  <c r="H138" i="11"/>
  <c r="F138" i="11"/>
  <c r="I138" i="11"/>
  <c r="G138" i="11"/>
  <c r="E138" i="11"/>
  <c r="J138" i="11"/>
  <c r="D140" i="11" l="1"/>
  <c r="E139" i="11"/>
  <c r="H139" i="11"/>
  <c r="J139" i="11"/>
  <c r="F139" i="11"/>
  <c r="I139" i="11"/>
  <c r="G139" i="11"/>
  <c r="G140" i="11" l="1"/>
  <c r="D141" i="11"/>
  <c r="E140" i="11"/>
  <c r="F140" i="11"/>
  <c r="H140" i="11"/>
  <c r="I140" i="11"/>
  <c r="J140" i="11"/>
  <c r="D142" i="11" l="1"/>
  <c r="E141" i="11"/>
  <c r="J141" i="11"/>
  <c r="I141" i="11"/>
  <c r="F141" i="11"/>
  <c r="H141" i="11"/>
  <c r="G141" i="11"/>
  <c r="G142" i="11" l="1"/>
  <c r="D143" i="11"/>
  <c r="E142" i="11"/>
  <c r="H142" i="11"/>
  <c r="F142" i="11"/>
  <c r="I142" i="11"/>
  <c r="J142" i="11"/>
  <c r="D144" i="11" l="1"/>
  <c r="E143" i="11"/>
  <c r="J143" i="11"/>
  <c r="I143" i="11"/>
  <c r="F143" i="11"/>
  <c r="H143" i="11"/>
  <c r="G143" i="11"/>
  <c r="G144" i="11" l="1"/>
  <c r="D145" i="11"/>
  <c r="H144" i="11"/>
  <c r="F144" i="11"/>
  <c r="I144" i="11"/>
  <c r="E144" i="11"/>
  <c r="J144" i="11"/>
  <c r="D146" i="11" l="1"/>
  <c r="E145" i="11"/>
  <c r="H145" i="11"/>
  <c r="F145" i="11"/>
  <c r="J145" i="11"/>
  <c r="I145" i="11"/>
  <c r="G145" i="11"/>
  <c r="G146" i="11" l="1"/>
  <c r="D147" i="11"/>
  <c r="F146" i="11"/>
  <c r="E146" i="11"/>
  <c r="I146" i="11"/>
  <c r="J146" i="11"/>
  <c r="H146" i="11"/>
  <c r="D148" i="11" l="1"/>
  <c r="E147" i="11"/>
  <c r="H147" i="11"/>
  <c r="J147" i="11"/>
  <c r="I147" i="11"/>
  <c r="G147" i="11"/>
  <c r="F147" i="11"/>
  <c r="G148" i="11" l="1"/>
  <c r="D149" i="11"/>
  <c r="H148" i="11"/>
  <c r="F148" i="11"/>
  <c r="I148" i="11"/>
  <c r="E148" i="11"/>
  <c r="J148" i="11"/>
  <c r="D150" i="11" l="1"/>
  <c r="E149" i="11"/>
  <c r="H149" i="11"/>
  <c r="J149" i="11"/>
  <c r="I149" i="11"/>
  <c r="F149" i="11"/>
  <c r="G149" i="11"/>
  <c r="G150" i="11" l="1"/>
  <c r="D151" i="11"/>
  <c r="E150" i="11"/>
  <c r="H150" i="11"/>
  <c r="F150" i="11"/>
  <c r="J150" i="11"/>
  <c r="I150" i="11"/>
  <c r="D152" i="11" l="1"/>
  <c r="E151" i="11"/>
  <c r="H151" i="11"/>
  <c r="F151" i="11"/>
  <c r="G151" i="11"/>
  <c r="J151" i="11"/>
  <c r="I151" i="11"/>
  <c r="G152" i="11" l="1"/>
  <c r="I152" i="11"/>
  <c r="E152" i="11"/>
  <c r="F152" i="11"/>
  <c r="J152" i="11"/>
  <c r="H152" i="11"/>
  <c r="D153" i="11"/>
  <c r="E153" i="11" l="1"/>
  <c r="F153" i="11"/>
  <c r="J153" i="11"/>
  <c r="I153" i="11"/>
  <c r="H153" i="11"/>
  <c r="D154" i="11"/>
  <c r="G153" i="11"/>
  <c r="H154" i="11" l="1"/>
  <c r="I154" i="11"/>
  <c r="E154" i="11"/>
  <c r="D155" i="11"/>
  <c r="F154" i="11"/>
  <c r="J154" i="11"/>
  <c r="G154" i="11"/>
  <c r="J155" i="11" l="1"/>
  <c r="F155" i="11"/>
  <c r="H155" i="11"/>
  <c r="E155" i="11"/>
  <c r="I155" i="11"/>
  <c r="D156" i="11"/>
  <c r="G155" i="11"/>
  <c r="G156" i="11" l="1"/>
  <c r="I156" i="11"/>
  <c r="E156" i="11"/>
  <c r="H156" i="11"/>
  <c r="F156" i="11"/>
  <c r="D157" i="11"/>
  <c r="J156" i="11"/>
  <c r="E157" i="11" l="1"/>
  <c r="F157" i="11"/>
  <c r="J157" i="11"/>
  <c r="I157" i="11"/>
  <c r="H157" i="11"/>
  <c r="D158" i="11"/>
  <c r="G157" i="11"/>
  <c r="H158" i="11" l="1"/>
  <c r="I158" i="11"/>
  <c r="E158" i="11"/>
  <c r="D159" i="11"/>
  <c r="F158" i="11"/>
  <c r="J158" i="11"/>
  <c r="G158" i="11"/>
  <c r="D160" i="11" l="1"/>
  <c r="F159" i="11"/>
  <c r="H159" i="11"/>
  <c r="E159" i="11"/>
  <c r="I159" i="11"/>
  <c r="G159" i="11"/>
  <c r="J159" i="11"/>
  <c r="J160" i="11" l="1"/>
  <c r="F160" i="11"/>
  <c r="G160" i="11"/>
  <c r="D161" i="11"/>
  <c r="H160" i="11"/>
  <c r="E160" i="11"/>
  <c r="I160" i="11"/>
  <c r="D162" i="11" l="1"/>
  <c r="I161" i="11"/>
  <c r="H161" i="11"/>
  <c r="F161" i="11"/>
  <c r="G161" i="11"/>
  <c r="J161" i="11"/>
  <c r="E161" i="11"/>
  <c r="J162" i="11" l="1"/>
  <c r="E162" i="11"/>
  <c r="G162" i="11"/>
  <c r="H162" i="11"/>
  <c r="I162" i="11"/>
  <c r="F162" i="11"/>
  <c r="D163" i="11"/>
  <c r="D164" i="11" l="1"/>
  <c r="I163" i="11"/>
  <c r="J163" i="11"/>
  <c r="H163" i="11"/>
  <c r="E163" i="11"/>
  <c r="G163" i="11"/>
  <c r="F163" i="11"/>
  <c r="J164" i="11" l="1"/>
  <c r="E164" i="11"/>
  <c r="F164" i="11"/>
  <c r="D165" i="11"/>
  <c r="H164" i="11"/>
  <c r="I164" i="11"/>
  <c r="G164" i="11"/>
  <c r="D166" i="11" l="1"/>
  <c r="I165" i="11"/>
  <c r="H165" i="11"/>
  <c r="E165" i="11"/>
  <c r="G165" i="11"/>
  <c r="J165" i="11"/>
  <c r="F165" i="11"/>
  <c r="J166" i="11" l="1"/>
  <c r="E166" i="11"/>
  <c r="G166" i="11"/>
  <c r="D167" i="11"/>
  <c r="F166" i="11"/>
  <c r="H166" i="11"/>
  <c r="I166" i="11"/>
  <c r="D168" i="11" l="1"/>
  <c r="I167" i="11"/>
  <c r="J167" i="11"/>
  <c r="F167" i="11"/>
  <c r="H167" i="11"/>
  <c r="E167" i="11"/>
  <c r="G167" i="11"/>
  <c r="J168" i="11" l="1"/>
  <c r="E168" i="11"/>
  <c r="F168" i="11"/>
  <c r="D169" i="11"/>
  <c r="I168" i="11"/>
  <c r="G168" i="11"/>
  <c r="H168" i="11"/>
  <c r="D170" i="11" l="1"/>
  <c r="I169" i="11"/>
  <c r="J169" i="11"/>
  <c r="H169" i="11"/>
  <c r="E169" i="11"/>
  <c r="F169" i="11"/>
  <c r="G169" i="11"/>
  <c r="J170" i="11" l="1"/>
  <c r="E170" i="11"/>
  <c r="G170" i="11"/>
  <c r="F170" i="11"/>
  <c r="D171" i="11"/>
  <c r="I170" i="11"/>
  <c r="H170" i="11"/>
  <c r="D172" i="11" l="1"/>
  <c r="I171" i="11"/>
  <c r="J171" i="11"/>
  <c r="G171" i="11"/>
  <c r="H171" i="11"/>
  <c r="E171" i="11"/>
  <c r="F171" i="11"/>
  <c r="J172" i="11" l="1"/>
  <c r="E172" i="11"/>
  <c r="F172" i="11"/>
  <c r="D173" i="11"/>
  <c r="G172" i="11"/>
  <c r="H172" i="11"/>
  <c r="I172" i="11"/>
  <c r="D174" i="11" l="1"/>
  <c r="H173" i="11"/>
  <c r="E173" i="11"/>
  <c r="F173" i="11"/>
  <c r="G173" i="11"/>
  <c r="I173" i="11"/>
  <c r="J173" i="11"/>
  <c r="J174" i="11" l="1"/>
  <c r="E174" i="11"/>
  <c r="F174" i="11"/>
  <c r="D175" i="11"/>
  <c r="H174" i="11"/>
  <c r="G174" i="11"/>
  <c r="I174" i="11"/>
  <c r="D176" i="11" l="1"/>
  <c r="I175" i="11"/>
  <c r="J175" i="11"/>
  <c r="E175" i="11"/>
  <c r="F175" i="11"/>
  <c r="G175" i="11"/>
  <c r="H175" i="11"/>
  <c r="J176" i="11" l="1"/>
  <c r="E176" i="11"/>
  <c r="G176" i="11"/>
  <c r="D177" i="11"/>
  <c r="H176" i="11"/>
  <c r="I176" i="11"/>
  <c r="F176" i="11"/>
  <c r="D178" i="11" l="1"/>
  <c r="I177" i="11"/>
  <c r="H177" i="11"/>
  <c r="E177" i="11"/>
  <c r="F177" i="11"/>
  <c r="G177" i="11"/>
  <c r="J177" i="11"/>
  <c r="J178" i="11" l="1"/>
  <c r="E178" i="11"/>
  <c r="F178" i="11"/>
  <c r="D179" i="11"/>
  <c r="I178" i="11"/>
  <c r="G178" i="11"/>
  <c r="H178" i="11"/>
  <c r="D180" i="11" l="1"/>
  <c r="I179" i="11"/>
  <c r="J179" i="11"/>
  <c r="F179" i="11"/>
  <c r="G179" i="11"/>
  <c r="H179" i="11"/>
  <c r="E179" i="11"/>
  <c r="J180" i="11" l="1"/>
  <c r="E180" i="11"/>
  <c r="F180" i="11"/>
  <c r="D181" i="11"/>
  <c r="G180" i="11"/>
  <c r="I180" i="11"/>
  <c r="H180" i="11"/>
  <c r="D182" i="11" l="1"/>
  <c r="I181" i="11"/>
  <c r="J181" i="11"/>
  <c r="E181" i="11"/>
  <c r="F181" i="11"/>
  <c r="G181" i="11"/>
  <c r="H181" i="11"/>
  <c r="J182" i="11" l="1"/>
  <c r="E182" i="11"/>
  <c r="G182" i="11"/>
  <c r="D183" i="11"/>
  <c r="H182" i="11"/>
  <c r="F182" i="11"/>
  <c r="I182" i="11"/>
  <c r="D184" i="11" l="1"/>
  <c r="I183" i="11"/>
  <c r="H183" i="11"/>
  <c r="E183" i="11"/>
  <c r="J183" i="11"/>
  <c r="F183" i="11"/>
  <c r="G183" i="11"/>
  <c r="J184" i="11" l="1"/>
  <c r="E184" i="11"/>
  <c r="F184" i="11"/>
  <c r="D185" i="11"/>
  <c r="G184" i="11"/>
  <c r="H184" i="11"/>
  <c r="I184" i="11"/>
  <c r="D186" i="11" l="1"/>
  <c r="I185" i="11"/>
  <c r="J185" i="11"/>
  <c r="E185" i="11"/>
  <c r="H185" i="11"/>
  <c r="F185" i="11"/>
  <c r="G185" i="11"/>
  <c r="J186" i="11" l="1"/>
  <c r="E186" i="11"/>
  <c r="F186" i="11"/>
  <c r="D187" i="11"/>
  <c r="I186" i="11"/>
  <c r="G186" i="11"/>
  <c r="H186" i="11"/>
  <c r="D188" i="11" l="1"/>
  <c r="I187" i="11"/>
  <c r="J187" i="11"/>
  <c r="F187" i="11"/>
  <c r="G187" i="11"/>
  <c r="H187" i="11"/>
  <c r="E187" i="11"/>
  <c r="J188" i="11" l="1"/>
  <c r="E188" i="11"/>
  <c r="H188" i="11"/>
  <c r="I188" i="11"/>
  <c r="G188" i="11"/>
  <c r="F188" i="11"/>
  <c r="D189" i="11"/>
  <c r="D190" i="11" l="1"/>
  <c r="I189" i="11"/>
  <c r="J189" i="11"/>
  <c r="H189" i="11"/>
  <c r="E189" i="11"/>
  <c r="G189" i="11"/>
  <c r="F189" i="11"/>
  <c r="E190" i="11" l="1"/>
  <c r="F190" i="11"/>
  <c r="G190" i="11"/>
  <c r="I190" i="11"/>
  <c r="D191" i="11"/>
  <c r="J190" i="11"/>
  <c r="H190" i="11"/>
  <c r="F191" i="11" l="1"/>
  <c r="H191" i="11"/>
  <c r="J191" i="11"/>
  <c r="I191" i="11"/>
  <c r="E191" i="11"/>
  <c r="G191" i="11"/>
  <c r="D192" i="11"/>
  <c r="I192" i="11" l="1"/>
  <c r="F192" i="11"/>
  <c r="G192" i="11"/>
  <c r="J192" i="11"/>
  <c r="E192" i="11"/>
  <c r="D193" i="11"/>
  <c r="H192" i="11"/>
  <c r="I193" i="11" l="1"/>
  <c r="F193" i="11"/>
  <c r="H193" i="11"/>
  <c r="G193" i="11"/>
  <c r="J193" i="11"/>
  <c r="E193" i="11"/>
  <c r="D194" i="11"/>
  <c r="E194" i="11" l="1"/>
  <c r="F194" i="11"/>
  <c r="I194" i="11"/>
  <c r="D195" i="11"/>
  <c r="J194" i="11"/>
  <c r="G194" i="11"/>
  <c r="H194" i="11"/>
  <c r="H195" i="11" l="1"/>
  <c r="D196" i="11"/>
  <c r="J195" i="11"/>
  <c r="I195" i="11"/>
  <c r="E195" i="11"/>
  <c r="F195" i="11"/>
  <c r="G195" i="11"/>
  <c r="F196" i="11" l="1"/>
  <c r="I196" i="11"/>
  <c r="G196" i="11"/>
  <c r="H196" i="11"/>
  <c r="E196" i="11"/>
  <c r="J196" i="11"/>
  <c r="D197" i="11"/>
  <c r="H197" i="11" l="1"/>
  <c r="D198" i="11"/>
  <c r="J197" i="11"/>
  <c r="I197" i="11"/>
  <c r="E197" i="11"/>
  <c r="F197" i="11"/>
  <c r="G197" i="11"/>
  <c r="J198" i="11" l="1"/>
  <c r="H198" i="11"/>
  <c r="E198" i="11"/>
  <c r="F198" i="11"/>
  <c r="G198" i="11"/>
  <c r="D199" i="11"/>
  <c r="I198" i="11"/>
  <c r="D200" i="11" l="1"/>
  <c r="E199" i="11"/>
  <c r="F199" i="11"/>
  <c r="I199" i="11"/>
  <c r="J199" i="11"/>
  <c r="H199" i="11"/>
  <c r="G199" i="11"/>
  <c r="J200" i="11" l="1"/>
  <c r="H200" i="11"/>
  <c r="E200" i="11"/>
  <c r="F200" i="11"/>
  <c r="G200" i="11"/>
  <c r="D201" i="11"/>
  <c r="I200" i="11"/>
  <c r="D202" i="11" l="1"/>
  <c r="E201" i="11"/>
  <c r="F201" i="11"/>
  <c r="I201" i="11"/>
  <c r="H201" i="11"/>
  <c r="J201" i="11"/>
  <c r="G201" i="11"/>
  <c r="J202" i="11" l="1"/>
  <c r="H202" i="11"/>
  <c r="E202" i="11"/>
  <c r="I202" i="11"/>
  <c r="F202" i="11"/>
  <c r="D203" i="11"/>
  <c r="G202" i="11"/>
  <c r="D204" i="11" l="1"/>
  <c r="E203" i="11"/>
  <c r="H203" i="11"/>
  <c r="I203" i="11"/>
  <c r="F203" i="11"/>
  <c r="J203" i="11"/>
  <c r="G203" i="11"/>
  <c r="J204" i="11" l="1"/>
  <c r="H204" i="11"/>
  <c r="E204" i="11"/>
  <c r="G204" i="11"/>
  <c r="D205" i="11"/>
  <c r="I204" i="11"/>
  <c r="F204" i="11"/>
  <c r="D206" i="11" l="1"/>
  <c r="E205" i="11"/>
  <c r="H205" i="11"/>
  <c r="I205" i="11"/>
  <c r="J205" i="11"/>
  <c r="F205" i="11"/>
  <c r="G205" i="11"/>
  <c r="J206" i="11" l="1"/>
  <c r="H206" i="11"/>
  <c r="E206" i="11"/>
  <c r="G206" i="11"/>
  <c r="I206" i="11"/>
  <c r="F206" i="11"/>
  <c r="D207" i="11"/>
  <c r="D208" i="11" l="1"/>
  <c r="E207" i="11"/>
  <c r="H207" i="11"/>
  <c r="F207" i="11"/>
  <c r="I207" i="11"/>
  <c r="J207" i="11"/>
  <c r="G207" i="11"/>
  <c r="J208" i="11" l="1"/>
  <c r="H208" i="11"/>
  <c r="E208" i="11"/>
  <c r="F208" i="11"/>
  <c r="I208" i="11"/>
  <c r="G208" i="11"/>
  <c r="D209" i="11"/>
  <c r="D210" i="11" l="1"/>
  <c r="E209" i="11"/>
  <c r="F209" i="11"/>
  <c r="I209" i="11"/>
  <c r="J209" i="11"/>
  <c r="G209" i="11"/>
  <c r="H209" i="11"/>
  <c r="J210" i="11" l="1"/>
  <c r="H210" i="11"/>
  <c r="E210" i="11"/>
  <c r="G210" i="11"/>
  <c r="I210" i="11"/>
  <c r="F210" i="11"/>
  <c r="D211" i="11"/>
  <c r="D212" i="11" l="1"/>
  <c r="E211" i="11"/>
  <c r="F211" i="11"/>
  <c r="J211" i="11"/>
  <c r="H211" i="11"/>
  <c r="I211" i="11"/>
  <c r="G211" i="11"/>
  <c r="J212" i="11" l="1"/>
  <c r="H212" i="11"/>
  <c r="E212" i="11"/>
  <c r="I212" i="11"/>
  <c r="F212" i="11"/>
  <c r="G212" i="11"/>
  <c r="D213" i="11"/>
  <c r="D214" i="11" l="1"/>
  <c r="E213" i="11"/>
  <c r="H213" i="11"/>
  <c r="I213" i="11"/>
  <c r="F213" i="11"/>
  <c r="J213" i="11"/>
  <c r="G213" i="11"/>
  <c r="J214" i="11" l="1"/>
  <c r="H214" i="11"/>
  <c r="E214" i="11"/>
  <c r="I214" i="11"/>
  <c r="F214" i="11"/>
  <c r="G214" i="11"/>
  <c r="D215" i="11"/>
  <c r="D216" i="11" l="1"/>
  <c r="E215" i="11"/>
  <c r="H215" i="11"/>
  <c r="F215" i="11"/>
  <c r="I215" i="11"/>
  <c r="J215" i="11"/>
  <c r="G215" i="11"/>
  <c r="J216" i="11" l="1"/>
  <c r="H216" i="11"/>
  <c r="E216" i="11"/>
  <c r="I216" i="11"/>
  <c r="F216" i="11"/>
  <c r="G216" i="11"/>
  <c r="D217" i="11"/>
  <c r="D218" i="11" l="1"/>
  <c r="E217" i="11"/>
  <c r="H217" i="11"/>
  <c r="I217" i="11"/>
  <c r="F217" i="11"/>
  <c r="J217" i="11"/>
  <c r="G217" i="11"/>
  <c r="J218" i="11" l="1"/>
  <c r="I218" i="11"/>
  <c r="F218" i="11"/>
  <c r="H218" i="11"/>
  <c r="E218" i="11"/>
  <c r="G218" i="11"/>
  <c r="D219" i="11"/>
  <c r="D220" i="11" l="1"/>
  <c r="E219" i="11"/>
  <c r="H219" i="11"/>
  <c r="F219" i="11"/>
  <c r="I219" i="11"/>
  <c r="G219" i="11"/>
  <c r="J219" i="11"/>
  <c r="J220" i="11" l="1"/>
  <c r="H220" i="11"/>
  <c r="E220" i="11"/>
  <c r="I220" i="11"/>
  <c r="F220" i="11"/>
  <c r="G220" i="11"/>
  <c r="D221" i="11"/>
  <c r="D222" i="11" l="1"/>
  <c r="E221" i="11"/>
  <c r="H221" i="11"/>
  <c r="I221" i="11"/>
  <c r="J221" i="11"/>
  <c r="F221" i="11"/>
  <c r="G221" i="11"/>
  <c r="J222" i="11" l="1"/>
  <c r="E222" i="11"/>
  <c r="G222" i="11"/>
  <c r="H222" i="11"/>
  <c r="I222" i="11"/>
  <c r="F222" i="11"/>
  <c r="D223" i="11"/>
  <c r="D224" i="11" l="1"/>
  <c r="E223" i="11"/>
  <c r="H223" i="11"/>
  <c r="F223" i="11"/>
  <c r="I223" i="11"/>
  <c r="J223" i="11"/>
  <c r="G223" i="11"/>
  <c r="J224" i="11" l="1"/>
  <c r="H224" i="11"/>
  <c r="E224" i="11"/>
  <c r="D225" i="11"/>
  <c r="I224" i="11"/>
  <c r="F224" i="11"/>
  <c r="G224" i="11"/>
  <c r="D226" i="11" l="1"/>
  <c r="E225" i="11"/>
  <c r="H225" i="11"/>
  <c r="F225" i="11"/>
  <c r="I225" i="11"/>
  <c r="J225" i="11"/>
  <c r="G225" i="11"/>
  <c r="J226" i="11" l="1"/>
  <c r="H226" i="11"/>
  <c r="E226" i="11"/>
  <c r="G226" i="11"/>
  <c r="I226" i="11"/>
  <c r="F226" i="11"/>
  <c r="D227" i="11"/>
  <c r="D228" i="11" l="1"/>
  <c r="E227" i="11"/>
  <c r="H227" i="11"/>
  <c r="J227" i="11"/>
  <c r="G227" i="11"/>
  <c r="F227" i="11"/>
  <c r="I227" i="11"/>
  <c r="J228" i="11" l="1"/>
  <c r="H228" i="11"/>
  <c r="E228" i="11"/>
  <c r="F228" i="11"/>
  <c r="G228" i="11"/>
  <c r="I228" i="11"/>
  <c r="D229" i="11"/>
  <c r="D230" i="11" l="1"/>
  <c r="E229" i="11"/>
  <c r="F229" i="11"/>
  <c r="I229" i="11"/>
  <c r="J229" i="11"/>
  <c r="H229" i="11"/>
  <c r="G229" i="11"/>
  <c r="J230" i="11" l="1"/>
  <c r="H230" i="11"/>
  <c r="E230" i="11"/>
  <c r="I230" i="11"/>
  <c r="F230" i="11"/>
  <c r="G230" i="11"/>
  <c r="D231" i="11"/>
  <c r="D232" i="11" l="1"/>
  <c r="E231" i="11"/>
  <c r="F231" i="11"/>
  <c r="I231" i="11"/>
  <c r="H231" i="11"/>
  <c r="J231" i="11"/>
  <c r="G231" i="11"/>
  <c r="J232" i="11" l="1"/>
  <c r="H232" i="11"/>
  <c r="I232" i="11"/>
  <c r="F232" i="11"/>
  <c r="G232" i="11"/>
  <c r="E232" i="11"/>
  <c r="D233" i="11"/>
  <c r="D234" i="11" l="1"/>
  <c r="E233" i="11"/>
  <c r="H233" i="11"/>
  <c r="J233" i="11"/>
  <c r="G233" i="11"/>
  <c r="F233" i="11"/>
  <c r="I233" i="11"/>
  <c r="H234" i="11" l="1"/>
  <c r="I234" i="11"/>
  <c r="E234" i="11"/>
  <c r="J234" i="11"/>
  <c r="F234" i="11"/>
  <c r="G234" i="11"/>
  <c r="D235" i="11"/>
  <c r="E235" i="11" l="1"/>
  <c r="F235" i="11"/>
  <c r="G235" i="11"/>
  <c r="I235" i="11"/>
  <c r="H235" i="11"/>
  <c r="J235" i="11"/>
  <c r="D236" i="11"/>
  <c r="I236" i="11" l="1"/>
  <c r="H236" i="11"/>
  <c r="J236" i="11"/>
  <c r="F236" i="11"/>
  <c r="G236" i="11"/>
  <c r="D237" i="11"/>
  <c r="E236" i="11"/>
  <c r="F237" i="11" l="1"/>
  <c r="G237" i="11"/>
  <c r="H237" i="11"/>
  <c r="I237" i="11"/>
  <c r="E237" i="11"/>
  <c r="D238" i="11"/>
  <c r="J237" i="11"/>
  <c r="H238" i="11" l="1"/>
  <c r="I238" i="11"/>
  <c r="E238" i="11"/>
  <c r="J238" i="11"/>
  <c r="D239" i="11"/>
  <c r="F238" i="11"/>
  <c r="G238" i="11"/>
  <c r="F239" i="11" l="1"/>
  <c r="G239" i="11"/>
  <c r="H239" i="11"/>
  <c r="E239" i="11"/>
  <c r="J239" i="11"/>
  <c r="I239" i="11"/>
  <c r="D240" i="11"/>
  <c r="G240" i="11" l="1"/>
  <c r="H240" i="11"/>
  <c r="J240" i="11"/>
  <c r="I240" i="11"/>
  <c r="F240" i="11"/>
  <c r="E240" i="11"/>
  <c r="D241" i="11"/>
  <c r="F241" i="11" l="1"/>
  <c r="H241" i="11"/>
  <c r="I241" i="11"/>
  <c r="J241" i="11"/>
  <c r="G241" i="11"/>
  <c r="D242" i="11"/>
  <c r="E241" i="11"/>
  <c r="I242" i="11" l="1"/>
  <c r="J242" i="11"/>
  <c r="F242" i="11"/>
  <c r="H242" i="11"/>
  <c r="E242" i="11"/>
  <c r="G242" i="11"/>
  <c r="D243" i="11"/>
  <c r="F243" i="11" l="1"/>
  <c r="H243" i="11"/>
  <c r="I243" i="11"/>
  <c r="G243" i="11"/>
  <c r="D244" i="11"/>
  <c r="J243" i="11"/>
  <c r="E243" i="11"/>
  <c r="H244" i="11" l="1"/>
  <c r="I244" i="11"/>
  <c r="F244" i="11"/>
  <c r="D245" i="11"/>
  <c r="E244" i="11"/>
  <c r="G244" i="11"/>
  <c r="J244" i="11"/>
  <c r="G245" i="11" l="1"/>
  <c r="H245" i="11"/>
  <c r="D246" i="11"/>
  <c r="J245" i="11"/>
  <c r="I245" i="11"/>
  <c r="E245" i="11"/>
  <c r="F245" i="11"/>
  <c r="H246" i="11" l="1"/>
  <c r="I246" i="11"/>
  <c r="F246" i="11"/>
  <c r="E246" i="11"/>
  <c r="G246" i="11"/>
  <c r="D247" i="11"/>
  <c r="J246" i="11"/>
  <c r="F247" i="11" l="1"/>
  <c r="D248" i="11"/>
  <c r="I247" i="11"/>
  <c r="G247" i="11"/>
  <c r="E247" i="11"/>
  <c r="H247" i="11"/>
  <c r="J247" i="11"/>
  <c r="I248" i="11" l="1"/>
  <c r="E248" i="11"/>
  <c r="F248" i="11"/>
  <c r="J248" i="11"/>
  <c r="G248" i="11"/>
  <c r="H248" i="11"/>
  <c r="D249" i="11"/>
  <c r="E249" i="11" l="1"/>
  <c r="F249" i="11"/>
  <c r="I249" i="11"/>
  <c r="J249" i="11"/>
  <c r="G249" i="11"/>
  <c r="H249" i="11"/>
  <c r="D250" i="11"/>
  <c r="I250" i="11" l="1"/>
  <c r="J250" i="11"/>
  <c r="F250" i="11"/>
  <c r="E250" i="11"/>
  <c r="G250" i="11"/>
  <c r="D251" i="11"/>
  <c r="H250" i="11"/>
  <c r="F251" i="11" l="1"/>
  <c r="H251" i="11"/>
  <c r="G251" i="11"/>
  <c r="J251" i="11"/>
  <c r="I251" i="11"/>
  <c r="E251" i="11"/>
  <c r="D252" i="11"/>
  <c r="H252" i="11" l="1"/>
  <c r="I252" i="11"/>
  <c r="E252" i="11"/>
  <c r="J252" i="11"/>
  <c r="G252" i="11"/>
  <c r="D253" i="11"/>
  <c r="F252" i="11"/>
  <c r="F253" i="11" l="1"/>
  <c r="G253" i="11"/>
  <c r="I253" i="11"/>
  <c r="H253" i="11"/>
  <c r="J253" i="11"/>
  <c r="D254" i="11"/>
  <c r="E253" i="11"/>
  <c r="I254" i="11" l="1"/>
  <c r="E254" i="11"/>
  <c r="F254" i="11"/>
  <c r="D255" i="11"/>
  <c r="H254" i="11"/>
  <c r="J254" i="11"/>
  <c r="G254" i="11"/>
  <c r="F255" i="11" l="1"/>
  <c r="D256" i="11"/>
  <c r="H255" i="11"/>
  <c r="G255" i="11"/>
  <c r="I255" i="11"/>
  <c r="E255" i="11"/>
  <c r="J255" i="11"/>
  <c r="H256" i="11" l="1"/>
  <c r="I256" i="11"/>
  <c r="E256" i="11"/>
  <c r="G256" i="11"/>
  <c r="D257" i="11"/>
  <c r="F256" i="11"/>
  <c r="J256" i="11"/>
  <c r="F257" i="11" l="1"/>
  <c r="H257" i="11"/>
  <c r="I257" i="11"/>
  <c r="D258" i="11"/>
  <c r="J257" i="11"/>
  <c r="G257" i="11"/>
  <c r="E257" i="11"/>
  <c r="H258" i="11" l="1"/>
  <c r="J258" i="11"/>
  <c r="F258" i="11"/>
  <c r="D259" i="11"/>
  <c r="E258" i="11"/>
  <c r="G258" i="11"/>
  <c r="I258" i="11"/>
  <c r="F259" i="11" l="1"/>
  <c r="H259" i="11"/>
  <c r="I259" i="11"/>
  <c r="D260" i="11"/>
  <c r="G259" i="11"/>
  <c r="E259" i="11"/>
  <c r="J259" i="11"/>
  <c r="H260" i="11" l="1"/>
  <c r="I260" i="11"/>
  <c r="F260" i="11"/>
  <c r="J260" i="11"/>
  <c r="G260" i="11"/>
  <c r="E260" i="11"/>
  <c r="D261" i="11"/>
  <c r="F261" i="11" l="1"/>
  <c r="G261" i="11"/>
  <c r="I261" i="11"/>
  <c r="J261" i="11"/>
  <c r="D262" i="11"/>
  <c r="H261" i="11"/>
  <c r="E261" i="11"/>
  <c r="D263" i="11" l="1"/>
  <c r="H262" i="11"/>
  <c r="F262" i="11"/>
  <c r="E262" i="11"/>
  <c r="I262" i="11"/>
  <c r="J262" i="11"/>
  <c r="G262" i="11"/>
  <c r="D264" i="11" l="1"/>
  <c r="H263" i="11"/>
  <c r="G263" i="11"/>
  <c r="J263" i="11"/>
  <c r="I263" i="11"/>
  <c r="E263" i="11"/>
  <c r="F263" i="11"/>
  <c r="I264" i="11" l="1"/>
  <c r="H264" i="11"/>
  <c r="F264" i="11"/>
  <c r="E264" i="11"/>
  <c r="J264" i="11"/>
  <c r="G264" i="11"/>
  <c r="D265" i="11"/>
  <c r="F265" i="11" l="1"/>
  <c r="H265" i="11"/>
  <c r="I265" i="11"/>
  <c r="D266" i="11"/>
  <c r="G265" i="11"/>
  <c r="E265" i="11"/>
  <c r="J265" i="11"/>
  <c r="H266" i="11" l="1"/>
  <c r="J266" i="11"/>
  <c r="E266" i="11"/>
  <c r="G266" i="11"/>
  <c r="D267" i="11"/>
  <c r="F266" i="11"/>
  <c r="I266" i="11"/>
  <c r="F267" i="11" l="1"/>
  <c r="D268" i="11"/>
  <c r="G267" i="11"/>
  <c r="H267" i="11"/>
  <c r="I267" i="11"/>
  <c r="J267" i="11"/>
  <c r="E267" i="11"/>
  <c r="J268" i="11" l="1"/>
  <c r="H268" i="11"/>
  <c r="E268" i="11"/>
  <c r="I268" i="11"/>
  <c r="G268" i="11"/>
  <c r="F268" i="11"/>
  <c r="D269" i="11"/>
  <c r="F269" i="11" l="1"/>
  <c r="G269" i="11"/>
  <c r="I269" i="11"/>
  <c r="D270" i="11"/>
  <c r="J269" i="11"/>
  <c r="E269" i="11"/>
  <c r="H269" i="11"/>
  <c r="D271" i="11" l="1"/>
  <c r="E270" i="11"/>
  <c r="F270" i="11"/>
  <c r="H270" i="11"/>
  <c r="I270" i="11"/>
  <c r="J270" i="11"/>
  <c r="G270" i="11"/>
  <c r="F271" i="11" l="1"/>
  <c r="D272" i="11"/>
  <c r="I271" i="11"/>
  <c r="H271" i="11"/>
  <c r="G271" i="11"/>
  <c r="J271" i="11"/>
  <c r="E271" i="11"/>
  <c r="G272" i="11" l="1"/>
  <c r="D273" i="11"/>
  <c r="E272" i="11"/>
  <c r="H272" i="11"/>
  <c r="I272" i="11"/>
  <c r="F272" i="11"/>
  <c r="J272" i="11"/>
  <c r="F273" i="11" l="1"/>
  <c r="H273" i="11"/>
  <c r="I273" i="11"/>
  <c r="J273" i="11"/>
  <c r="E273" i="11"/>
  <c r="D274" i="11"/>
  <c r="G273" i="11"/>
  <c r="I274" i="11" l="1"/>
  <c r="J274" i="11"/>
  <c r="F274" i="11"/>
  <c r="G274" i="11"/>
  <c r="E274" i="11"/>
  <c r="H274" i="11"/>
  <c r="D275" i="11"/>
  <c r="H275" i="11" l="1"/>
  <c r="F275" i="11"/>
  <c r="I275" i="11"/>
  <c r="G275" i="11"/>
  <c r="D276" i="11"/>
  <c r="J275" i="11"/>
  <c r="E275" i="11"/>
  <c r="I276" i="11" l="1"/>
  <c r="J276" i="11"/>
  <c r="E276" i="11"/>
  <c r="G276" i="11"/>
  <c r="F276" i="11"/>
  <c r="D277" i="11"/>
  <c r="H276" i="11"/>
  <c r="D278" i="11" l="1"/>
  <c r="H277" i="11"/>
  <c r="G277" i="11"/>
  <c r="J277" i="11"/>
  <c r="I277" i="11"/>
  <c r="F277" i="11"/>
  <c r="E277" i="11"/>
  <c r="H278" i="11" l="1"/>
  <c r="E278" i="11"/>
  <c r="I278" i="11"/>
  <c r="F278" i="11"/>
  <c r="J278" i="11"/>
  <c r="D279" i="11"/>
  <c r="G278" i="11"/>
  <c r="F279" i="11" l="1"/>
  <c r="H279" i="11"/>
  <c r="D280" i="11"/>
  <c r="E279" i="11"/>
  <c r="I279" i="11"/>
  <c r="J279" i="11"/>
  <c r="G279" i="11"/>
  <c r="D281" i="11" l="1"/>
  <c r="E280" i="11"/>
  <c r="J280" i="11"/>
  <c r="I280" i="11"/>
  <c r="G280" i="11"/>
  <c r="H280" i="11"/>
  <c r="F280" i="11"/>
  <c r="H281" i="11" l="1"/>
  <c r="D282" i="11"/>
  <c r="E281" i="11"/>
  <c r="G281" i="11"/>
  <c r="F281" i="11"/>
  <c r="J281" i="11"/>
  <c r="I281" i="11"/>
  <c r="I282" i="11" l="1"/>
  <c r="J282" i="11"/>
  <c r="G282" i="11"/>
  <c r="H282" i="11"/>
  <c r="E282" i="11"/>
  <c r="F282" i="11"/>
  <c r="D283" i="11"/>
  <c r="F283" i="11" l="1"/>
  <c r="H283" i="11"/>
  <c r="E283" i="11"/>
  <c r="G283" i="11"/>
  <c r="D284" i="11"/>
  <c r="I283" i="11"/>
  <c r="J283" i="11"/>
  <c r="F284" i="11" l="1"/>
  <c r="D285" i="11"/>
  <c r="H284" i="11"/>
  <c r="G284" i="11"/>
  <c r="J284" i="11"/>
  <c r="I284" i="11"/>
  <c r="E284" i="11"/>
  <c r="G285" i="11" l="1"/>
  <c r="H285" i="11"/>
  <c r="D286" i="11"/>
  <c r="I285" i="11"/>
  <c r="J285" i="11"/>
  <c r="E285" i="11"/>
  <c r="F285" i="11"/>
  <c r="G286" i="11" l="1"/>
  <c r="D287" i="11"/>
  <c r="H286" i="11"/>
  <c r="J286" i="11"/>
  <c r="E286" i="11"/>
  <c r="F286" i="11"/>
  <c r="I286" i="11"/>
  <c r="J287" i="11" l="1"/>
  <c r="F287" i="11"/>
  <c r="G287" i="11"/>
  <c r="D288" i="11"/>
  <c r="E287" i="11"/>
  <c r="H287" i="11"/>
  <c r="I287" i="11"/>
  <c r="H288" i="11" l="1"/>
  <c r="J288" i="11"/>
  <c r="E288" i="11"/>
  <c r="I288" i="11"/>
  <c r="F288" i="11"/>
  <c r="G288" i="11"/>
  <c r="D289" i="11"/>
  <c r="E289" i="11" l="1"/>
  <c r="H289" i="11"/>
  <c r="I289" i="11"/>
  <c r="F289" i="11"/>
  <c r="D290" i="11"/>
  <c r="G289" i="11"/>
  <c r="J289" i="11"/>
  <c r="E290" i="11" l="1"/>
  <c r="I290" i="11"/>
  <c r="F290" i="11"/>
  <c r="G290" i="11"/>
  <c r="D291" i="11"/>
  <c r="H290" i="11"/>
  <c r="J290" i="11"/>
  <c r="G291" i="11" l="1"/>
  <c r="H291" i="11"/>
  <c r="D292" i="11"/>
  <c r="J291" i="11"/>
  <c r="I291" i="11"/>
  <c r="E291" i="11"/>
  <c r="F291" i="11"/>
  <c r="E292" i="11" l="1"/>
  <c r="I292" i="11"/>
  <c r="F292" i="11"/>
  <c r="G292" i="11"/>
  <c r="D293" i="11"/>
  <c r="H292" i="11"/>
  <c r="J292" i="11"/>
  <c r="H293" i="11" l="1"/>
  <c r="D294" i="11"/>
  <c r="I293" i="11"/>
  <c r="J293" i="11"/>
  <c r="E293" i="11"/>
  <c r="G293" i="11"/>
  <c r="F293" i="11"/>
  <c r="E294" i="11" l="1"/>
  <c r="I294" i="11"/>
  <c r="F294" i="11"/>
  <c r="G294" i="11"/>
  <c r="D295" i="11"/>
  <c r="H294" i="11"/>
  <c r="J294" i="11"/>
  <c r="F295" i="11" l="1"/>
  <c r="G295" i="11"/>
  <c r="H295" i="11"/>
  <c r="I295" i="11"/>
  <c r="J295" i="11"/>
  <c r="E295" i="11"/>
  <c r="D296" i="11"/>
  <c r="E296" i="11" l="1"/>
  <c r="I296" i="11"/>
  <c r="G296" i="11"/>
  <c r="F296" i="11"/>
  <c r="D297" i="11"/>
  <c r="H296" i="11"/>
  <c r="J296" i="11"/>
  <c r="H297" i="11" l="1"/>
  <c r="D298" i="11"/>
  <c r="I297" i="11"/>
  <c r="G297" i="11"/>
  <c r="J297" i="11"/>
  <c r="E297" i="11"/>
  <c r="F297" i="11"/>
  <c r="E298" i="11" l="1"/>
  <c r="I298" i="11"/>
  <c r="F298" i="11"/>
  <c r="G298" i="11"/>
  <c r="H298" i="11"/>
  <c r="D299" i="11"/>
  <c r="J298" i="11"/>
  <c r="H299" i="11" l="1"/>
  <c r="D300" i="11"/>
  <c r="I299" i="11"/>
  <c r="J299" i="11"/>
  <c r="E299" i="11"/>
  <c r="F299" i="11"/>
  <c r="G299" i="11"/>
  <c r="E300" i="11" l="1"/>
  <c r="I300" i="11"/>
  <c r="F300" i="11"/>
  <c r="D301" i="11"/>
  <c r="H300" i="11"/>
  <c r="J300" i="11"/>
  <c r="G300" i="11"/>
  <c r="H301" i="11" l="1"/>
  <c r="D302" i="11"/>
  <c r="E301" i="11"/>
  <c r="I301" i="11"/>
  <c r="J301" i="11"/>
  <c r="F301" i="11"/>
  <c r="G301" i="11"/>
  <c r="E302" i="11" l="1"/>
  <c r="I302" i="11"/>
  <c r="G302" i="11"/>
  <c r="F302" i="11"/>
  <c r="D303" i="11"/>
  <c r="H302" i="11"/>
  <c r="J302" i="11"/>
  <c r="H303" i="11" l="1"/>
  <c r="D304" i="11"/>
  <c r="I303" i="11"/>
  <c r="J303" i="11"/>
  <c r="E303" i="11"/>
  <c r="G303" i="11"/>
  <c r="F303" i="11"/>
  <c r="E304" i="11" l="1"/>
  <c r="I304" i="11"/>
  <c r="F304" i="11"/>
  <c r="H304" i="11"/>
  <c r="G304" i="11"/>
  <c r="D305" i="11"/>
  <c r="J304" i="11"/>
  <c r="H305" i="11" l="1"/>
  <c r="D306" i="11"/>
  <c r="I305" i="11"/>
  <c r="J305" i="11"/>
  <c r="F305" i="11"/>
  <c r="G305" i="11"/>
  <c r="E305" i="11"/>
  <c r="E306" i="11" l="1"/>
  <c r="I306" i="11"/>
  <c r="F306" i="11"/>
  <c r="G306" i="11"/>
  <c r="D307" i="11"/>
  <c r="H306" i="11"/>
  <c r="J306" i="11"/>
  <c r="H307" i="11" l="1"/>
  <c r="D308" i="11"/>
  <c r="F307" i="11"/>
  <c r="G307" i="11"/>
  <c r="I307" i="11"/>
  <c r="J307" i="11"/>
  <c r="E307" i="11"/>
  <c r="E308" i="11" l="1"/>
  <c r="I308" i="11"/>
  <c r="F308" i="11"/>
  <c r="G308" i="11"/>
  <c r="H308" i="11"/>
  <c r="J308" i="11"/>
  <c r="D309" i="11"/>
  <c r="I309" i="11" l="1"/>
  <c r="J309" i="11"/>
  <c r="E309" i="11"/>
  <c r="F309" i="11"/>
  <c r="G309" i="11"/>
  <c r="D310" i="11"/>
  <c r="H309" i="11"/>
  <c r="E310" i="11" l="1"/>
  <c r="I310" i="11"/>
  <c r="G310" i="11"/>
  <c r="J310" i="11"/>
  <c r="F310" i="11"/>
  <c r="D311" i="11"/>
  <c r="H310" i="11"/>
  <c r="H311" i="11" l="1"/>
  <c r="D312" i="11"/>
  <c r="I311" i="11"/>
  <c r="E311" i="11"/>
  <c r="G311" i="11"/>
  <c r="J311" i="11"/>
  <c r="F311" i="11"/>
  <c r="E312" i="11" l="1"/>
  <c r="I312" i="11"/>
  <c r="F312" i="11"/>
  <c r="H312" i="11"/>
  <c r="G312" i="11"/>
  <c r="D313" i="11"/>
  <c r="J312" i="11"/>
  <c r="H313" i="11" l="1"/>
  <c r="D314" i="11"/>
  <c r="I313" i="11"/>
  <c r="F313" i="11"/>
  <c r="J313" i="11"/>
  <c r="E313" i="11"/>
  <c r="G313" i="11"/>
  <c r="E314" i="11" l="1"/>
  <c r="I314" i="11"/>
  <c r="F314" i="11"/>
  <c r="H314" i="11"/>
  <c r="G314" i="11"/>
  <c r="D315" i="11"/>
  <c r="J314" i="11"/>
  <c r="H315" i="11" l="1"/>
  <c r="D316" i="11"/>
  <c r="I315" i="11"/>
  <c r="J315" i="11"/>
  <c r="E315" i="11"/>
  <c r="G315" i="11"/>
  <c r="F315" i="11"/>
  <c r="E316" i="11" l="1"/>
  <c r="I316" i="11"/>
  <c r="F316" i="11"/>
  <c r="D317" i="11"/>
  <c r="G316" i="11"/>
  <c r="H316" i="11"/>
  <c r="J316" i="11"/>
  <c r="H317" i="11" l="1"/>
  <c r="D318" i="11"/>
  <c r="I317" i="11"/>
  <c r="J317" i="11"/>
  <c r="F317" i="11"/>
  <c r="G317" i="11"/>
  <c r="E317" i="11"/>
  <c r="J318" i="11" l="1"/>
  <c r="E318" i="11"/>
  <c r="I318" i="11"/>
  <c r="G318" i="11"/>
  <c r="F318" i="11"/>
  <c r="D319" i="11"/>
  <c r="H318" i="11"/>
  <c r="G319" i="11" l="1"/>
  <c r="D320" i="11"/>
  <c r="E319" i="11"/>
  <c r="H319" i="11"/>
  <c r="I319" i="11"/>
  <c r="J319" i="11"/>
  <c r="F319" i="11"/>
  <c r="J320" i="11" l="1"/>
  <c r="I320" i="11"/>
  <c r="F320" i="11"/>
  <c r="G320" i="11"/>
  <c r="E320" i="11"/>
  <c r="D321" i="11"/>
  <c r="H320" i="11"/>
  <c r="G321" i="11" l="1"/>
  <c r="H321" i="11"/>
  <c r="D322" i="11"/>
  <c r="I321" i="11"/>
  <c r="J321" i="11"/>
  <c r="E321" i="11"/>
  <c r="F321" i="11"/>
  <c r="J322" i="11" l="1"/>
  <c r="I322" i="11"/>
  <c r="F322" i="11"/>
  <c r="E322" i="11"/>
  <c r="G322" i="11"/>
  <c r="D323" i="11"/>
  <c r="H322" i="11"/>
  <c r="G323" i="11" l="1"/>
  <c r="D324" i="11"/>
  <c r="I323" i="11"/>
  <c r="F323" i="11"/>
  <c r="H323" i="11"/>
  <c r="J323" i="11"/>
  <c r="E323" i="11"/>
  <c r="J324" i="11" l="1"/>
  <c r="E324" i="11"/>
  <c r="I324" i="11"/>
  <c r="F324" i="11"/>
  <c r="G324" i="11"/>
  <c r="H324" i="11"/>
  <c r="D325" i="11"/>
  <c r="G325" i="11" l="1"/>
  <c r="H325" i="11"/>
  <c r="I325" i="11"/>
  <c r="E325" i="11"/>
  <c r="F325" i="11"/>
  <c r="D326" i="11"/>
  <c r="J325" i="11"/>
  <c r="J326" i="11" l="1"/>
  <c r="E326" i="11"/>
  <c r="F326" i="11"/>
  <c r="G326" i="11"/>
  <c r="D327" i="11"/>
  <c r="H326" i="11"/>
  <c r="I326" i="11"/>
  <c r="G327" i="11" l="1"/>
  <c r="D328" i="11"/>
  <c r="I327" i="11"/>
  <c r="E327" i="11"/>
  <c r="F327" i="11"/>
  <c r="H327" i="11"/>
  <c r="J327" i="11"/>
  <c r="J328" i="11" l="1"/>
  <c r="E328" i="11"/>
  <c r="I328" i="11"/>
  <c r="H328" i="11"/>
  <c r="F328" i="11"/>
  <c r="G328" i="11"/>
  <c r="D329" i="11"/>
  <c r="G329" i="11" l="1"/>
  <c r="H329" i="11"/>
  <c r="D330" i="11"/>
  <c r="I329" i="11"/>
  <c r="J329" i="11"/>
  <c r="E329" i="11"/>
  <c r="F329" i="11"/>
  <c r="J330" i="11" l="1"/>
  <c r="E330" i="11"/>
  <c r="H330" i="11"/>
  <c r="F330" i="11"/>
  <c r="G330" i="11"/>
  <c r="D331" i="11"/>
  <c r="I330" i="11"/>
  <c r="F331" i="11" l="1"/>
  <c r="G331" i="11"/>
  <c r="I331" i="11"/>
  <c r="D332" i="11"/>
  <c r="H331" i="11"/>
  <c r="J331" i="11"/>
  <c r="E331" i="11"/>
  <c r="I332" i="11" l="1"/>
  <c r="J332" i="11"/>
  <c r="F332" i="11"/>
  <c r="G332" i="11"/>
  <c r="D333" i="11"/>
  <c r="E332" i="11"/>
  <c r="H332" i="11"/>
  <c r="E333" i="11" l="1"/>
  <c r="H333" i="11"/>
  <c r="I333" i="11"/>
  <c r="J333" i="11"/>
  <c r="F333" i="11"/>
  <c r="G333" i="11"/>
  <c r="D334" i="11"/>
  <c r="J334" i="11" l="1"/>
  <c r="E334" i="11"/>
  <c r="H334" i="11"/>
  <c r="G334" i="11"/>
  <c r="D335" i="11"/>
  <c r="I334" i="11"/>
  <c r="F334" i="11"/>
  <c r="F335" i="11" l="1"/>
  <c r="H335" i="11"/>
  <c r="G335" i="11"/>
  <c r="I335" i="11"/>
  <c r="J335" i="11"/>
  <c r="D336" i="11"/>
  <c r="E335" i="11"/>
  <c r="I336" i="11" l="1"/>
  <c r="E336" i="11"/>
  <c r="J336" i="11"/>
  <c r="F336" i="11"/>
  <c r="D337" i="11"/>
  <c r="H336" i="11"/>
  <c r="G336" i="11"/>
  <c r="E337" i="11" l="1"/>
  <c r="H337" i="11"/>
  <c r="F337" i="11"/>
  <c r="D338" i="11"/>
  <c r="I337" i="11"/>
  <c r="J337" i="11"/>
  <c r="G337" i="11"/>
  <c r="J338" i="11" l="1"/>
  <c r="G338" i="11"/>
  <c r="E338" i="11"/>
  <c r="F338" i="11"/>
  <c r="D339" i="11"/>
  <c r="H338" i="11"/>
  <c r="I338" i="11"/>
  <c r="I339" i="11" l="1"/>
  <c r="H339" i="11"/>
  <c r="E339" i="11"/>
  <c r="G339" i="11"/>
  <c r="D340" i="11"/>
  <c r="J339" i="11"/>
  <c r="F339" i="11"/>
  <c r="F340" i="11" l="1"/>
  <c r="G340" i="11"/>
  <c r="E340" i="11"/>
  <c r="D341" i="11"/>
  <c r="H340" i="11"/>
  <c r="I340" i="11"/>
  <c r="J340" i="11"/>
  <c r="I341" i="11" l="1"/>
  <c r="J341" i="11"/>
  <c r="H341" i="11"/>
  <c r="E341" i="11"/>
  <c r="F341" i="11"/>
  <c r="G341" i="11"/>
  <c r="D342" i="11"/>
  <c r="F342" i="11" l="1"/>
  <c r="G342" i="11"/>
  <c r="E342" i="11"/>
  <c r="D343" i="11"/>
  <c r="H342" i="11"/>
  <c r="I342" i="11"/>
  <c r="J342" i="11"/>
  <c r="I343" i="11" l="1"/>
  <c r="H343" i="11"/>
  <c r="E343" i="11"/>
  <c r="F343" i="11"/>
  <c r="J343" i="11"/>
  <c r="G343" i="11"/>
  <c r="D344" i="11"/>
  <c r="F344" i="11" l="1"/>
  <c r="G344" i="11"/>
  <c r="E344" i="11"/>
  <c r="D345" i="11"/>
  <c r="H344" i="11"/>
  <c r="I344" i="11"/>
  <c r="J344" i="11"/>
  <c r="I345" i="11" l="1"/>
  <c r="J345" i="11"/>
  <c r="H345" i="11"/>
  <c r="E345" i="11"/>
  <c r="F345" i="11"/>
  <c r="G345" i="11"/>
  <c r="D346" i="11"/>
  <c r="F346" i="11" l="1"/>
  <c r="G346" i="11"/>
  <c r="E346" i="11"/>
  <c r="D347" i="11"/>
  <c r="H346" i="11"/>
  <c r="J346" i="11"/>
  <c r="I346" i="11"/>
  <c r="I347" i="11" l="1"/>
  <c r="J347" i="11"/>
  <c r="H347" i="11"/>
  <c r="E347" i="11"/>
  <c r="G347" i="11"/>
  <c r="D348" i="11"/>
  <c r="F347" i="11"/>
  <c r="F348" i="11" l="1"/>
  <c r="G348" i="11"/>
  <c r="E348" i="11"/>
  <c r="I348" i="11"/>
  <c r="J348" i="11"/>
  <c r="D349" i="11"/>
  <c r="H348" i="11"/>
  <c r="I349" i="11" l="1"/>
  <c r="J349" i="11"/>
  <c r="H349" i="11"/>
  <c r="F349" i="11"/>
  <c r="G349" i="11"/>
  <c r="D350" i="11"/>
  <c r="E349" i="11"/>
  <c r="H350" i="11" l="1"/>
  <c r="G350" i="11"/>
  <c r="E350" i="11"/>
  <c r="D351" i="11"/>
  <c r="I350" i="11"/>
  <c r="F350" i="11"/>
  <c r="J350" i="11"/>
  <c r="E351" i="11" l="1"/>
  <c r="J351" i="11"/>
  <c r="H351" i="11"/>
  <c r="F351" i="11"/>
  <c r="D352" i="11"/>
  <c r="G351" i="11"/>
  <c r="I351" i="11"/>
  <c r="H352" i="11" l="1"/>
  <c r="E352" i="11"/>
  <c r="D353" i="11"/>
  <c r="I352" i="11"/>
  <c r="J352" i="11"/>
  <c r="F352" i="11"/>
  <c r="G352" i="11"/>
  <c r="E353" i="11" l="1"/>
  <c r="G353" i="11"/>
  <c r="D354" i="11"/>
  <c r="I353" i="11"/>
  <c r="J353" i="11"/>
  <c r="H353" i="11"/>
  <c r="F353" i="11"/>
  <c r="H354" i="11" l="1"/>
  <c r="E354" i="11"/>
  <c r="J354" i="11"/>
  <c r="G354" i="11"/>
  <c r="D355" i="11"/>
  <c r="I354" i="11"/>
  <c r="F354" i="11"/>
  <c r="E355" i="11" l="1"/>
  <c r="H355" i="11"/>
  <c r="I355" i="11"/>
  <c r="J355" i="11"/>
  <c r="F355" i="11"/>
  <c r="G355" i="11"/>
  <c r="D356" i="11"/>
  <c r="H356" i="11" l="1"/>
  <c r="E356" i="11"/>
  <c r="D357" i="11"/>
  <c r="I356" i="11"/>
  <c r="J356" i="11"/>
  <c r="G356" i="11"/>
  <c r="F356" i="11"/>
  <c r="E357" i="11" l="1"/>
  <c r="H357" i="11"/>
  <c r="F357" i="11"/>
  <c r="G357" i="11"/>
  <c r="I357" i="11"/>
  <c r="J357" i="11"/>
  <c r="D358" i="11"/>
  <c r="H358" i="11" l="1"/>
  <c r="E358" i="11"/>
  <c r="D359" i="11"/>
  <c r="J358" i="11"/>
  <c r="G358" i="11"/>
  <c r="I358" i="11"/>
  <c r="F358" i="11"/>
  <c r="E359" i="11" l="1"/>
  <c r="J359" i="11"/>
  <c r="H359" i="11"/>
  <c r="F359" i="11"/>
  <c r="G359" i="11"/>
  <c r="D360" i="11"/>
  <c r="I359" i="11"/>
  <c r="H360" i="11" l="1"/>
  <c r="E360" i="11"/>
  <c r="I360" i="11"/>
  <c r="F360" i="11"/>
  <c r="G360" i="11"/>
  <c r="D361" i="11"/>
  <c r="J360" i="11"/>
  <c r="E361" i="11" l="1"/>
  <c r="J361" i="11"/>
  <c r="D362" i="11"/>
  <c r="I361" i="11"/>
  <c r="H361" i="11"/>
  <c r="F361" i="11"/>
  <c r="G361" i="11"/>
  <c r="H362" i="11" l="1"/>
  <c r="G362" i="11"/>
  <c r="E362" i="11"/>
  <c r="D363" i="11"/>
  <c r="J362" i="11"/>
  <c r="I362" i="11"/>
  <c r="F362" i="11"/>
  <c r="E363" i="11" l="1"/>
  <c r="J363" i="11"/>
  <c r="H363" i="11"/>
  <c r="F363" i="11"/>
  <c r="G363" i="11"/>
  <c r="D364" i="11"/>
  <c r="I363" i="11"/>
  <c r="H364" i="11" l="1"/>
  <c r="G364" i="11"/>
  <c r="E364" i="11"/>
  <c r="D365" i="11"/>
  <c r="F364" i="11"/>
  <c r="I364" i="11"/>
  <c r="J364" i="11"/>
  <c r="E365" i="11" l="1"/>
  <c r="J365" i="11"/>
  <c r="H365" i="11"/>
  <c r="F365" i="11"/>
  <c r="G365" i="11"/>
  <c r="D366" i="11"/>
  <c r="I365" i="11"/>
  <c r="H366" i="11" l="1"/>
  <c r="G366" i="11"/>
  <c r="E366" i="11"/>
  <c r="D367" i="11"/>
  <c r="I366" i="11"/>
  <c r="J366" i="11"/>
  <c r="F366" i="11"/>
  <c r="E367" i="11" l="1"/>
  <c r="H367" i="11"/>
  <c r="D368" i="11"/>
  <c r="I367" i="11"/>
  <c r="J367" i="11"/>
  <c r="F367" i="11"/>
  <c r="G367" i="11"/>
  <c r="H368" i="11" l="1"/>
  <c r="G368" i="11"/>
  <c r="E368" i="11"/>
  <c r="D369" i="11"/>
  <c r="J368" i="11"/>
  <c r="I368" i="11"/>
  <c r="F368" i="11"/>
  <c r="D370" i="11" l="1"/>
  <c r="J369" i="11"/>
  <c r="H369" i="11"/>
  <c r="F369" i="11"/>
  <c r="G369" i="11"/>
  <c r="I369" i="11"/>
  <c r="E369" i="11"/>
  <c r="H370" i="11" l="1"/>
  <c r="G370" i="11"/>
  <c r="J370" i="11"/>
  <c r="I370" i="11"/>
  <c r="F370" i="11"/>
  <c r="E370" i="11"/>
  <c r="D371" i="11"/>
  <c r="E371" i="11" l="1"/>
  <c r="J371" i="11"/>
  <c r="D372" i="11"/>
  <c r="F371" i="11"/>
  <c r="I371" i="11"/>
  <c r="G371" i="11"/>
  <c r="H371" i="11"/>
  <c r="H372" i="11" l="1"/>
  <c r="G372" i="11"/>
  <c r="E372" i="11"/>
  <c r="D373" i="11"/>
  <c r="F372" i="11"/>
  <c r="J372" i="11"/>
  <c r="I372" i="11"/>
  <c r="F373" i="11" l="1"/>
  <c r="E373" i="11"/>
  <c r="I373" i="11"/>
  <c r="H373" i="11"/>
  <c r="J373" i="11"/>
  <c r="G373" i="11"/>
  <c r="D374" i="11"/>
  <c r="H374" i="11" l="1"/>
  <c r="G374" i="11"/>
  <c r="E374" i="11"/>
  <c r="D375" i="11"/>
  <c r="F374" i="11"/>
  <c r="I374" i="11"/>
  <c r="J374" i="11"/>
  <c r="F375" i="11" l="1"/>
  <c r="J375" i="11"/>
  <c r="D376" i="11"/>
  <c r="H375" i="11"/>
  <c r="I375" i="11"/>
  <c r="G375" i="11"/>
  <c r="E375" i="11"/>
  <c r="E376" i="11" l="1"/>
  <c r="G376" i="11"/>
  <c r="J376" i="11"/>
  <c r="D377" i="11"/>
  <c r="F376" i="11"/>
  <c r="H376" i="11"/>
  <c r="I376" i="11"/>
  <c r="H377" i="11" l="1"/>
  <c r="J377" i="11"/>
  <c r="I377" i="11"/>
  <c r="E377" i="11"/>
  <c r="F377" i="11"/>
  <c r="D378" i="11"/>
  <c r="G377" i="11"/>
  <c r="H378" i="11" l="1"/>
  <c r="F378" i="11"/>
  <c r="D379" i="11"/>
  <c r="J378" i="11"/>
  <c r="I378" i="11"/>
  <c r="G378" i="11"/>
  <c r="E378" i="11"/>
  <c r="F379" i="11" l="1"/>
  <c r="J379" i="11"/>
  <c r="D380" i="11"/>
  <c r="H379" i="11"/>
  <c r="I379" i="11"/>
  <c r="G379" i="11"/>
  <c r="E379" i="11"/>
  <c r="E380" i="11" l="1"/>
  <c r="G380" i="11"/>
  <c r="J380" i="11"/>
  <c r="D381" i="11"/>
  <c r="H380" i="11"/>
  <c r="I380" i="11"/>
  <c r="F380" i="11"/>
  <c r="H381" i="11" l="1"/>
  <c r="J381" i="11"/>
  <c r="I381" i="11"/>
  <c r="E381" i="11"/>
  <c r="F381" i="11"/>
  <c r="D382" i="11"/>
  <c r="G381" i="11"/>
  <c r="F382" i="11" l="1"/>
  <c r="G382" i="11"/>
  <c r="H382" i="11"/>
  <c r="D383" i="11"/>
  <c r="I382" i="11"/>
  <c r="J382" i="11"/>
  <c r="E382" i="11"/>
  <c r="F383" i="11" l="1"/>
  <c r="J383" i="11"/>
  <c r="E383" i="11"/>
  <c r="H383" i="11"/>
  <c r="I383" i="11"/>
  <c r="G383" i="11"/>
  <c r="D384" i="11"/>
  <c r="E384" i="11" l="1"/>
  <c r="J384" i="11"/>
  <c r="H384" i="11"/>
  <c r="I384" i="11"/>
  <c r="G384" i="11"/>
  <c r="D385" i="11"/>
  <c r="F384" i="11"/>
  <c r="I385" i="11" l="1"/>
  <c r="J385" i="11"/>
  <c r="H385" i="11"/>
  <c r="E385" i="11"/>
  <c r="F385" i="11"/>
  <c r="D386" i="11"/>
  <c r="G385" i="11"/>
  <c r="F386" i="11" l="1"/>
  <c r="G386" i="11"/>
  <c r="H386" i="11"/>
  <c r="D387" i="11"/>
  <c r="J386" i="11"/>
  <c r="E386" i="11"/>
  <c r="I386" i="11"/>
  <c r="F387" i="11" l="1"/>
  <c r="J387" i="11"/>
  <c r="D388" i="11"/>
  <c r="H387" i="11"/>
  <c r="G387" i="11"/>
  <c r="E387" i="11"/>
  <c r="I387" i="11"/>
  <c r="E388" i="11" l="1"/>
  <c r="G388" i="11"/>
  <c r="J388" i="11"/>
  <c r="D389" i="11"/>
  <c r="F388" i="11"/>
  <c r="H388" i="11"/>
  <c r="I388" i="11"/>
  <c r="H389" i="11" l="1"/>
  <c r="E389" i="11"/>
  <c r="I389" i="11"/>
  <c r="F389" i="11"/>
  <c r="G389" i="11"/>
  <c r="D390" i="11"/>
  <c r="J389" i="11"/>
  <c r="F390" i="11" l="1"/>
  <c r="H390" i="11"/>
  <c r="E390" i="11"/>
  <c r="I390" i="11"/>
  <c r="J390" i="11"/>
  <c r="D391" i="11"/>
  <c r="G390" i="11"/>
  <c r="H391" i="11" l="1"/>
  <c r="E391" i="11"/>
  <c r="I391" i="11"/>
  <c r="F391" i="11"/>
  <c r="D392" i="11"/>
  <c r="G391" i="11"/>
  <c r="J391" i="11"/>
  <c r="F392" i="11" l="1"/>
  <c r="H392" i="11"/>
  <c r="E392" i="11"/>
  <c r="I392" i="11"/>
  <c r="J392" i="11"/>
  <c r="G392" i="11"/>
  <c r="D393" i="11"/>
  <c r="H393" i="11" l="1"/>
  <c r="E393" i="11"/>
  <c r="I393" i="11"/>
  <c r="F393" i="11"/>
  <c r="G393" i="11"/>
  <c r="D394" i="11"/>
  <c r="J393" i="11"/>
  <c r="F394" i="11" l="1"/>
  <c r="H394" i="11"/>
  <c r="E394" i="11"/>
  <c r="G394" i="11"/>
  <c r="I394" i="11"/>
  <c r="J394" i="11"/>
  <c r="D395" i="11"/>
  <c r="H395" i="11" l="1"/>
  <c r="E395" i="11"/>
  <c r="I395" i="11"/>
  <c r="F395" i="11"/>
  <c r="G395" i="11"/>
  <c r="D396" i="11"/>
  <c r="J395" i="11"/>
  <c r="F396" i="11" l="1"/>
  <c r="H396" i="11"/>
  <c r="E396" i="11"/>
  <c r="I396" i="11"/>
  <c r="J396" i="11"/>
  <c r="G396" i="11"/>
  <c r="D397" i="11"/>
  <c r="H397" i="11" l="1"/>
  <c r="I397" i="11"/>
  <c r="F397" i="11"/>
  <c r="G397" i="11"/>
  <c r="D398" i="11"/>
  <c r="E397" i="11"/>
  <c r="J397" i="11"/>
  <c r="F398" i="11" l="1"/>
  <c r="H398" i="11"/>
  <c r="E398" i="11"/>
  <c r="G398" i="11"/>
  <c r="I398" i="11"/>
  <c r="J398" i="11"/>
  <c r="D399" i="11"/>
  <c r="H399" i="11" l="1"/>
  <c r="E399" i="11"/>
  <c r="I399" i="11"/>
  <c r="F399" i="11"/>
  <c r="J399" i="11"/>
  <c r="G399" i="11"/>
  <c r="D400" i="11"/>
  <c r="F400" i="11" l="1"/>
  <c r="H400" i="11"/>
  <c r="E400" i="11"/>
  <c r="I400" i="11"/>
  <c r="G400" i="11"/>
  <c r="D401" i="11"/>
  <c r="J400" i="11"/>
  <c r="H401" i="11" l="1"/>
  <c r="I401" i="11"/>
  <c r="J401" i="11"/>
  <c r="E401" i="11"/>
  <c r="F401" i="11"/>
  <c r="G401" i="11"/>
  <c r="D402" i="11"/>
  <c r="F402" i="11" l="1"/>
  <c r="H402" i="11"/>
  <c r="E402" i="11"/>
  <c r="G402" i="11"/>
  <c r="D403" i="11"/>
  <c r="I402" i="11"/>
  <c r="J402" i="11"/>
  <c r="H403" i="11" l="1"/>
  <c r="E403" i="11"/>
  <c r="G403" i="11"/>
  <c r="I403" i="11"/>
  <c r="F403" i="11"/>
  <c r="J403" i="11"/>
  <c r="D404" i="11"/>
  <c r="F404" i="11" l="1"/>
  <c r="H404" i="11"/>
  <c r="E404" i="11"/>
  <c r="I404" i="11"/>
  <c r="J404" i="11"/>
  <c r="G404" i="11"/>
  <c r="D405" i="11"/>
  <c r="H405" i="11" l="1"/>
  <c r="I405" i="11"/>
  <c r="F405" i="11"/>
  <c r="D406" i="11"/>
  <c r="J405" i="11"/>
  <c r="E405" i="11"/>
  <c r="G405" i="11"/>
  <c r="F406" i="11" l="1"/>
  <c r="H406" i="11"/>
  <c r="E406" i="11"/>
  <c r="I406" i="11"/>
  <c r="J406" i="11"/>
  <c r="G406" i="11"/>
  <c r="D407" i="11"/>
  <c r="H407" i="11" l="1"/>
  <c r="I407" i="11"/>
  <c r="F407" i="11"/>
  <c r="D408" i="11"/>
  <c r="E407" i="11"/>
  <c r="G407" i="11"/>
  <c r="J407" i="11"/>
  <c r="F408" i="11" l="1"/>
  <c r="E408" i="11"/>
  <c r="I408" i="11"/>
  <c r="J408" i="11"/>
  <c r="D409" i="11"/>
  <c r="H408" i="11"/>
  <c r="G408" i="11"/>
  <c r="H409" i="11" l="1"/>
  <c r="E409" i="11"/>
  <c r="I409" i="11"/>
  <c r="F409" i="11"/>
  <c r="D410" i="11"/>
  <c r="J409" i="11"/>
  <c r="G409" i="11"/>
  <c r="F410" i="11" l="1"/>
  <c r="H410" i="11"/>
  <c r="E410" i="11"/>
  <c r="I410" i="11"/>
  <c r="G410" i="11"/>
  <c r="D411" i="11"/>
  <c r="J410" i="11"/>
  <c r="H411" i="11" l="1"/>
  <c r="I411" i="11"/>
  <c r="F411" i="11"/>
  <c r="G411" i="11"/>
  <c r="D412" i="11"/>
  <c r="E411" i="11"/>
  <c r="J411" i="11"/>
  <c r="F412" i="11" l="1"/>
  <c r="H412" i="11"/>
  <c r="E412" i="11"/>
  <c r="I412" i="11"/>
  <c r="J412" i="11"/>
  <c r="G412" i="11"/>
  <c r="D413" i="11"/>
  <c r="J413" i="11" l="1"/>
  <c r="E413" i="11"/>
  <c r="I413" i="11"/>
  <c r="F413" i="11"/>
  <c r="G413" i="11"/>
  <c r="D414" i="11"/>
  <c r="H413" i="11"/>
  <c r="G414" i="11" l="1"/>
  <c r="H414" i="11"/>
  <c r="D415" i="11"/>
  <c r="I414" i="11"/>
  <c r="E414" i="11"/>
  <c r="J414" i="11"/>
  <c r="F414" i="11"/>
  <c r="I415" i="11" l="1"/>
  <c r="J415" i="11"/>
  <c r="F415" i="11"/>
  <c r="G415" i="11"/>
  <c r="D416" i="11"/>
  <c r="E415" i="11"/>
  <c r="H415" i="11"/>
  <c r="G416" i="11" l="1"/>
  <c r="H416" i="11"/>
  <c r="F416" i="11"/>
  <c r="J416" i="11"/>
  <c r="E416" i="11"/>
  <c r="I416" i="11"/>
  <c r="D417" i="11"/>
  <c r="H417" i="11" l="1"/>
  <c r="E417" i="11"/>
  <c r="F417" i="11"/>
  <c r="G417" i="11"/>
  <c r="D418" i="11"/>
  <c r="I417" i="11"/>
  <c r="J417" i="11"/>
  <c r="G418" i="11" l="1"/>
  <c r="H418" i="11"/>
  <c r="F418" i="11"/>
  <c r="J418" i="11"/>
  <c r="I418" i="11"/>
  <c r="D419" i="11"/>
  <c r="E418" i="11"/>
  <c r="H419" i="11" l="1"/>
  <c r="F419" i="11"/>
  <c r="G419" i="11"/>
  <c r="D420" i="11"/>
  <c r="I419" i="11"/>
  <c r="J419" i="11"/>
  <c r="E419" i="11"/>
  <c r="G420" i="11" l="1"/>
  <c r="H420" i="11"/>
  <c r="F420" i="11"/>
  <c r="J420" i="11"/>
  <c r="I420" i="11"/>
  <c r="E420" i="11"/>
  <c r="D421" i="11"/>
  <c r="H421" i="11" l="1"/>
  <c r="E421" i="11"/>
  <c r="F421" i="11"/>
  <c r="G421" i="11"/>
  <c r="I421" i="11"/>
  <c r="J421" i="11"/>
  <c r="D422" i="11"/>
  <c r="D423" i="11" l="1"/>
  <c r="H422" i="11"/>
  <c r="E422" i="11"/>
  <c r="G422" i="11"/>
  <c r="I422" i="11"/>
  <c r="J422" i="11"/>
  <c r="F422" i="11"/>
  <c r="I423" i="11" l="1"/>
  <c r="J423" i="11"/>
  <c r="F423" i="11"/>
  <c r="G423" i="11"/>
  <c r="E423" i="11"/>
  <c r="D424" i="11"/>
  <c r="H423" i="11"/>
  <c r="J424" i="11" l="1"/>
  <c r="H424" i="11"/>
  <c r="I424" i="11"/>
  <c r="E424" i="11"/>
  <c r="D425" i="11"/>
  <c r="F424" i="11"/>
  <c r="G424" i="11"/>
  <c r="H425" i="11" l="1"/>
  <c r="E425" i="11"/>
  <c r="G425" i="11"/>
  <c r="I425" i="11"/>
  <c r="J425" i="11"/>
  <c r="F425" i="11"/>
  <c r="D426" i="11"/>
  <c r="D427" i="11" l="1"/>
  <c r="H426" i="11"/>
  <c r="E426" i="11"/>
  <c r="G426" i="11"/>
  <c r="I426" i="11"/>
  <c r="J426" i="11"/>
  <c r="F426" i="11"/>
  <c r="I427" i="11" l="1"/>
  <c r="E427" i="11"/>
  <c r="J427" i="11"/>
  <c r="F427" i="11"/>
  <c r="D428" i="11"/>
  <c r="G427" i="11"/>
  <c r="H427" i="11"/>
  <c r="J428" i="11" l="1"/>
  <c r="H428" i="11"/>
  <c r="I428" i="11"/>
  <c r="E428" i="11"/>
  <c r="F428" i="11"/>
  <c r="D429" i="11"/>
  <c r="G428" i="11"/>
  <c r="G429" i="11" l="1"/>
  <c r="E429" i="11"/>
  <c r="I429" i="11"/>
  <c r="J429" i="11"/>
  <c r="F429" i="11"/>
  <c r="D430" i="11"/>
  <c r="H429" i="11"/>
  <c r="E430" i="11" l="1"/>
  <c r="F430" i="11"/>
  <c r="J430" i="11"/>
  <c r="G430" i="11"/>
  <c r="H430" i="11"/>
  <c r="I430" i="11"/>
  <c r="D431" i="11"/>
  <c r="D432" i="11" l="1"/>
  <c r="G431" i="11"/>
  <c r="J431" i="11"/>
  <c r="E431" i="11"/>
  <c r="F431" i="11"/>
  <c r="H431" i="11"/>
  <c r="I431" i="11"/>
  <c r="E432" i="11" l="1"/>
  <c r="F432" i="11"/>
  <c r="J432" i="11"/>
  <c r="G432" i="11"/>
  <c r="D433" i="11"/>
  <c r="H432" i="11"/>
  <c r="I432" i="11"/>
  <c r="G433" i="11" l="1"/>
  <c r="D434" i="11"/>
  <c r="F433" i="11"/>
  <c r="I433" i="11"/>
  <c r="J433" i="11"/>
  <c r="E433" i="11"/>
  <c r="H433" i="11"/>
  <c r="E434" i="11" l="1"/>
  <c r="F434" i="11"/>
  <c r="J434" i="11"/>
  <c r="G434" i="11"/>
  <c r="H434" i="11"/>
  <c r="I434" i="11"/>
  <c r="D435" i="11"/>
  <c r="D436" i="11" l="1"/>
  <c r="G435" i="11"/>
  <c r="J435" i="11"/>
  <c r="E435" i="11"/>
  <c r="F435" i="11"/>
  <c r="I435" i="11"/>
  <c r="H435" i="11"/>
  <c r="E436" i="11" l="1"/>
  <c r="F436" i="11"/>
  <c r="J436" i="11"/>
  <c r="G436" i="11"/>
  <c r="I436" i="11"/>
  <c r="D437" i="11"/>
  <c r="H436" i="11"/>
  <c r="G437" i="11" l="1"/>
  <c r="I437" i="11"/>
  <c r="J437" i="11"/>
  <c r="F437" i="11"/>
  <c r="D438" i="11"/>
  <c r="E437" i="11"/>
  <c r="H437" i="11"/>
  <c r="E438" i="11" l="1"/>
  <c r="F438" i="11"/>
  <c r="J438" i="11"/>
  <c r="D439" i="11"/>
  <c r="G438" i="11"/>
  <c r="H438" i="11"/>
  <c r="I438" i="11"/>
  <c r="J439" i="11" l="1"/>
  <c r="I439" i="11"/>
  <c r="G439" i="11"/>
  <c r="E439" i="11"/>
  <c r="H439" i="11"/>
  <c r="D440" i="11"/>
  <c r="F439" i="11"/>
  <c r="J440" i="11" l="1"/>
  <c r="D441" i="11"/>
  <c r="E440" i="11"/>
  <c r="G440" i="11"/>
  <c r="F440" i="11"/>
  <c r="H440" i="11"/>
  <c r="I440" i="11"/>
  <c r="J441" i="11" l="1"/>
  <c r="I441" i="11"/>
  <c r="G441" i="11"/>
  <c r="E441" i="11"/>
  <c r="F441" i="11"/>
  <c r="D442" i="11"/>
  <c r="H441" i="11"/>
  <c r="D443" i="11" l="1"/>
  <c r="F442" i="11"/>
  <c r="J442" i="11"/>
  <c r="H442" i="11"/>
  <c r="E442" i="11"/>
  <c r="I442" i="11"/>
  <c r="G442" i="11"/>
  <c r="J443" i="11" l="1"/>
  <c r="I443" i="11"/>
  <c r="E443" i="11"/>
  <c r="F443" i="11"/>
  <c r="H443" i="11"/>
  <c r="G443" i="11"/>
  <c r="D444" i="11"/>
  <c r="J444" i="11" l="1"/>
  <c r="F444" i="11"/>
  <c r="D445" i="11"/>
  <c r="H444" i="11"/>
  <c r="I444" i="11"/>
  <c r="E444" i="11"/>
  <c r="G444" i="11"/>
  <c r="J445" i="11" l="1"/>
  <c r="G445" i="11"/>
  <c r="E445" i="11"/>
  <c r="F445" i="11"/>
  <c r="H445" i="11"/>
  <c r="D446" i="11"/>
  <c r="I445" i="11"/>
  <c r="D447" i="11" l="1"/>
  <c r="J446" i="11"/>
  <c r="H446" i="11"/>
  <c r="I446" i="11"/>
  <c r="E446" i="11"/>
  <c r="G446" i="11"/>
  <c r="F446" i="11"/>
  <c r="J447" i="11" l="1"/>
  <c r="I447" i="11"/>
  <c r="G447" i="11"/>
  <c r="E447" i="11"/>
  <c r="H447" i="11"/>
  <c r="D448" i="11"/>
  <c r="F447" i="11"/>
  <c r="J448" i="11" l="1"/>
  <c r="D449" i="11"/>
  <c r="E448" i="11"/>
  <c r="F448" i="11"/>
  <c r="H448" i="11"/>
  <c r="I448" i="11"/>
  <c r="G448" i="11"/>
  <c r="J449" i="11" l="1"/>
  <c r="I449" i="11"/>
  <c r="G449" i="11"/>
  <c r="E449" i="11"/>
  <c r="H449" i="11"/>
  <c r="D450" i="11"/>
  <c r="F449" i="11"/>
  <c r="D451" i="11" l="1"/>
  <c r="F450" i="11"/>
  <c r="J450" i="11"/>
  <c r="G450" i="11"/>
  <c r="H450" i="11"/>
  <c r="I450" i="11"/>
  <c r="E450" i="11"/>
  <c r="J451" i="11" l="1"/>
  <c r="G451" i="11"/>
  <c r="E451" i="11"/>
  <c r="F451" i="11"/>
  <c r="H451" i="11"/>
  <c r="D452" i="11"/>
  <c r="I451" i="11"/>
  <c r="G452" i="11" l="1"/>
  <c r="F452" i="11"/>
  <c r="J452" i="11"/>
  <c r="H452" i="11"/>
  <c r="I452" i="11"/>
  <c r="E452" i="11"/>
  <c r="D453" i="11"/>
  <c r="D454" i="11" l="1"/>
  <c r="J453" i="11"/>
  <c r="F453" i="11"/>
  <c r="G453" i="11"/>
  <c r="I453" i="11"/>
  <c r="E453" i="11"/>
  <c r="H453" i="11"/>
  <c r="D455" i="11" l="1"/>
  <c r="F454" i="11"/>
  <c r="E454" i="11"/>
  <c r="J454" i="11"/>
  <c r="H454" i="11"/>
  <c r="I454" i="11"/>
  <c r="G454" i="11"/>
  <c r="G455" i="11" l="1"/>
  <c r="H455" i="11"/>
  <c r="E455" i="11"/>
  <c r="F455" i="11"/>
  <c r="J455" i="11"/>
  <c r="I455" i="11"/>
  <c r="D456" i="11"/>
  <c r="J456" i="11" l="1"/>
  <c r="F456" i="11"/>
  <c r="G456" i="11"/>
  <c r="H456" i="11"/>
  <c r="E456" i="11"/>
  <c r="D457" i="11"/>
  <c r="I456" i="11"/>
  <c r="J457" i="11" l="1"/>
  <c r="I457" i="11"/>
  <c r="D458" i="11"/>
  <c r="E457" i="11"/>
  <c r="F457" i="11"/>
  <c r="G457" i="11"/>
  <c r="H457" i="11"/>
  <c r="D459" i="11" l="1"/>
  <c r="F458" i="11"/>
  <c r="E458" i="11"/>
  <c r="H458" i="11"/>
  <c r="I458" i="11"/>
  <c r="G458" i="11"/>
  <c r="J458" i="11"/>
  <c r="D460" i="11" l="1"/>
  <c r="F459" i="11"/>
  <c r="E459" i="11"/>
  <c r="J459" i="11"/>
  <c r="I459" i="11"/>
  <c r="H459" i="11"/>
  <c r="G459" i="11"/>
  <c r="D461" i="11" l="1"/>
  <c r="E460" i="11"/>
  <c r="H460" i="11"/>
  <c r="F460" i="11"/>
  <c r="I460" i="11"/>
  <c r="J460" i="11"/>
  <c r="G460" i="11"/>
  <c r="D462" i="11" l="1"/>
  <c r="F461" i="11"/>
  <c r="E461" i="11"/>
  <c r="H461" i="11"/>
  <c r="J461" i="11"/>
  <c r="I461" i="11"/>
  <c r="G461" i="11"/>
  <c r="E462" i="11" l="1"/>
  <c r="F462" i="11"/>
  <c r="H462" i="11"/>
  <c r="I462" i="11"/>
  <c r="J462" i="11"/>
  <c r="G462" i="11"/>
  <c r="D463" i="11"/>
  <c r="D464" i="11" l="1"/>
  <c r="F463" i="11"/>
  <c r="E463" i="11"/>
  <c r="H463" i="11"/>
  <c r="J463" i="11"/>
  <c r="G463" i="11"/>
  <c r="I463" i="11"/>
  <c r="E464" i="11" l="1"/>
  <c r="I464" i="11"/>
  <c r="D465" i="11"/>
  <c r="F464" i="11"/>
  <c r="J464" i="11"/>
  <c r="G464" i="11"/>
  <c r="H464" i="11"/>
  <c r="H465" i="11" l="1"/>
  <c r="D466" i="11"/>
  <c r="E465" i="11"/>
  <c r="I465" i="11"/>
  <c r="F465" i="11"/>
  <c r="J465" i="11"/>
  <c r="G465" i="11"/>
  <c r="J466" i="11" l="1"/>
  <c r="E466" i="11"/>
  <c r="D467" i="11"/>
  <c r="H466" i="11"/>
  <c r="F466" i="11"/>
  <c r="I466" i="11"/>
  <c r="G466" i="11"/>
  <c r="F467" i="11" l="1"/>
  <c r="H467" i="11"/>
  <c r="E467" i="11"/>
  <c r="I467" i="11"/>
  <c r="D468" i="11"/>
  <c r="J467" i="11"/>
  <c r="G467" i="11"/>
  <c r="E468" i="11" l="1"/>
  <c r="I468" i="11"/>
  <c r="D469" i="11"/>
  <c r="H468" i="11"/>
  <c r="F468" i="11"/>
  <c r="J468" i="11"/>
  <c r="G468" i="11"/>
  <c r="D470" i="11" l="1"/>
  <c r="H469" i="11"/>
  <c r="E469" i="11"/>
  <c r="G469" i="11"/>
  <c r="J469" i="11"/>
  <c r="I469" i="11"/>
  <c r="F469" i="11"/>
  <c r="J470" i="11" l="1"/>
  <c r="G470" i="11"/>
  <c r="E470" i="11"/>
  <c r="D471" i="11"/>
  <c r="H470" i="11"/>
  <c r="F470" i="11"/>
  <c r="I470" i="11"/>
  <c r="F471" i="11" l="1"/>
  <c r="H471" i="11"/>
  <c r="E471" i="11"/>
  <c r="I471" i="11"/>
  <c r="D472" i="11"/>
  <c r="J471" i="11"/>
  <c r="G471" i="11"/>
  <c r="I472" i="11" l="1"/>
  <c r="J472" i="11"/>
  <c r="D473" i="11"/>
  <c r="H472" i="11"/>
  <c r="F472" i="11"/>
  <c r="E472" i="11"/>
  <c r="G472" i="11"/>
  <c r="D474" i="11" l="1"/>
  <c r="H473" i="11"/>
  <c r="E473" i="11"/>
  <c r="I473" i="11"/>
  <c r="F473" i="11"/>
  <c r="G473" i="11"/>
  <c r="J473" i="11"/>
  <c r="J474" i="11" l="1"/>
  <c r="E474" i="11"/>
  <c r="D475" i="11"/>
  <c r="H474" i="11"/>
  <c r="F474" i="11"/>
  <c r="I474" i="11"/>
  <c r="G474" i="11"/>
  <c r="F475" i="11" l="1"/>
  <c r="J475" i="11"/>
  <c r="H475" i="11"/>
  <c r="D476" i="11"/>
  <c r="E475" i="11"/>
  <c r="I475" i="11"/>
  <c r="G475" i="11"/>
  <c r="J476" i="11" l="1"/>
  <c r="I476" i="11"/>
  <c r="D477" i="11"/>
  <c r="E476" i="11"/>
  <c r="G476" i="11"/>
  <c r="H476" i="11"/>
  <c r="F476" i="11"/>
  <c r="H477" i="11" l="1"/>
  <c r="D478" i="11"/>
  <c r="E477" i="11"/>
  <c r="I477" i="11"/>
  <c r="F477" i="11"/>
  <c r="G477" i="11"/>
  <c r="J477" i="11"/>
  <c r="J478" i="11" l="1"/>
  <c r="E478" i="11"/>
  <c r="D479" i="11"/>
  <c r="F478" i="11"/>
  <c r="I478" i="11"/>
  <c r="G478" i="11"/>
  <c r="H478" i="11"/>
  <c r="F479" i="11" l="1"/>
  <c r="H479" i="11"/>
  <c r="E479" i="11"/>
  <c r="I479" i="11"/>
  <c r="D480" i="11"/>
  <c r="G479" i="11"/>
  <c r="J479" i="11"/>
  <c r="E480" i="11" l="1"/>
  <c r="G480" i="11"/>
  <c r="D481" i="11"/>
  <c r="H480" i="11"/>
  <c r="F480" i="11"/>
  <c r="J480" i="11"/>
  <c r="I480" i="11"/>
  <c r="H481" i="11" l="1"/>
  <c r="D482" i="11"/>
  <c r="E481" i="11"/>
  <c r="G481" i="11"/>
  <c r="J481" i="11"/>
  <c r="I481" i="11"/>
  <c r="F481" i="11"/>
  <c r="J482" i="11" l="1"/>
  <c r="E482" i="11"/>
  <c r="D483" i="11"/>
  <c r="H482" i="11"/>
  <c r="F482" i="11"/>
  <c r="I482" i="11"/>
  <c r="G482" i="11"/>
  <c r="G483" i="11" l="1"/>
  <c r="J483" i="11"/>
  <c r="H483" i="11"/>
  <c r="E483" i="11"/>
  <c r="D484" i="11"/>
  <c r="F483" i="11"/>
  <c r="I483" i="11"/>
  <c r="E484" i="11" l="1"/>
  <c r="I484" i="11"/>
  <c r="D485" i="11"/>
  <c r="G484" i="11"/>
  <c r="H484" i="11"/>
  <c r="F484" i="11"/>
  <c r="J484" i="11"/>
  <c r="G485" i="11" l="1"/>
  <c r="J485" i="11"/>
  <c r="H485" i="11"/>
  <c r="I485" i="11"/>
  <c r="F485" i="11"/>
  <c r="D486" i="11"/>
  <c r="E485" i="11"/>
  <c r="J486" i="11" l="1"/>
  <c r="D487" i="11"/>
  <c r="H486" i="11"/>
  <c r="G486" i="11"/>
  <c r="E486" i="11"/>
  <c r="F486" i="11"/>
  <c r="I486" i="11"/>
  <c r="F487" i="11" l="1"/>
  <c r="J487" i="11"/>
  <c r="H487" i="11"/>
  <c r="E487" i="11"/>
  <c r="D488" i="11"/>
  <c r="G487" i="11"/>
  <c r="I487" i="11"/>
  <c r="I488" i="11" l="1"/>
  <c r="G488" i="11"/>
  <c r="J488" i="11"/>
  <c r="D489" i="11"/>
  <c r="H488" i="11"/>
  <c r="E488" i="11"/>
  <c r="F488" i="11"/>
  <c r="G489" i="11" l="1"/>
  <c r="J489" i="11"/>
  <c r="I489" i="11"/>
  <c r="E489" i="11"/>
  <c r="D490" i="11"/>
  <c r="H489" i="11"/>
  <c r="F489" i="11"/>
  <c r="F490" i="11" l="1"/>
  <c r="G490" i="11"/>
  <c r="J490" i="11"/>
  <c r="D491" i="11"/>
  <c r="H490" i="11"/>
  <c r="E490" i="11"/>
  <c r="I490" i="11"/>
  <c r="G491" i="11" l="1"/>
  <c r="J491" i="11"/>
  <c r="I491" i="11"/>
  <c r="E491" i="11"/>
  <c r="D492" i="11"/>
  <c r="F491" i="11"/>
  <c r="H491" i="11"/>
  <c r="I492" i="11" l="1"/>
  <c r="J492" i="11"/>
  <c r="D493" i="11"/>
  <c r="G492" i="11"/>
  <c r="H492" i="11"/>
  <c r="E492" i="11"/>
  <c r="F492" i="11"/>
  <c r="G493" i="11" l="1"/>
  <c r="J493" i="11"/>
  <c r="I493" i="11"/>
  <c r="E493" i="11"/>
  <c r="D494" i="11"/>
  <c r="F493" i="11"/>
  <c r="H493" i="11"/>
  <c r="E494" i="11" l="1"/>
  <c r="G494" i="11"/>
  <c r="D495" i="11"/>
  <c r="H494" i="11"/>
  <c r="F494" i="11"/>
  <c r="J494" i="11"/>
  <c r="I494" i="11"/>
  <c r="H495" i="11" l="1"/>
  <c r="J495" i="11"/>
  <c r="I495" i="11"/>
  <c r="E495" i="11"/>
  <c r="D496" i="11"/>
  <c r="G495" i="11"/>
  <c r="F495" i="11"/>
  <c r="F496" i="11" l="1"/>
  <c r="G496" i="11"/>
  <c r="J496" i="11"/>
  <c r="I496" i="11"/>
  <c r="E496" i="11"/>
  <c r="D497" i="11"/>
  <c r="H496" i="11"/>
  <c r="G497" i="11" l="1"/>
  <c r="J497" i="11"/>
  <c r="E497" i="11"/>
  <c r="D498" i="11"/>
  <c r="F497" i="11"/>
  <c r="I497" i="11"/>
  <c r="H497" i="11"/>
  <c r="F498" i="11" l="1"/>
  <c r="J498" i="11"/>
  <c r="D499" i="11"/>
  <c r="H498" i="11"/>
  <c r="I498" i="11"/>
  <c r="E498" i="11"/>
  <c r="G498" i="11"/>
  <c r="H499" i="11" l="1"/>
  <c r="J499" i="11"/>
  <c r="I499" i="11"/>
  <c r="E499" i="11"/>
  <c r="G499" i="11"/>
  <c r="D500" i="11"/>
  <c r="F499" i="11"/>
  <c r="F500" i="11" l="1"/>
  <c r="J500" i="11"/>
  <c r="D501" i="11"/>
  <c r="H500" i="11"/>
  <c r="I500" i="11"/>
  <c r="G500" i="11"/>
  <c r="E500" i="11"/>
  <c r="H501" i="11" l="1"/>
  <c r="J501" i="11"/>
  <c r="I501" i="11"/>
  <c r="E501" i="11"/>
  <c r="D502" i="11"/>
  <c r="G501" i="11"/>
  <c r="F501" i="11"/>
  <c r="F502" i="11" l="1"/>
  <c r="J502" i="11"/>
  <c r="D503" i="11"/>
  <c r="G502" i="11"/>
  <c r="H502" i="11"/>
  <c r="I502" i="11"/>
  <c r="E502" i="11"/>
  <c r="H503" i="11" l="1"/>
  <c r="J503" i="11"/>
  <c r="I503" i="11"/>
  <c r="G503" i="11"/>
  <c r="E503" i="11"/>
  <c r="F503" i="11"/>
  <c r="D504" i="11"/>
  <c r="E504" i="11" l="1"/>
  <c r="G504" i="11"/>
  <c r="D505" i="11"/>
  <c r="I504" i="11"/>
  <c r="J504" i="11"/>
  <c r="H504" i="11"/>
  <c r="F504" i="11"/>
  <c r="F505" i="11" l="1"/>
  <c r="J505" i="11"/>
  <c r="D506" i="11"/>
  <c r="G505" i="11"/>
  <c r="H505" i="11"/>
  <c r="I505" i="11"/>
  <c r="E505" i="11"/>
  <c r="H506" i="11" l="1"/>
  <c r="J506" i="11"/>
  <c r="D507" i="11"/>
  <c r="E506" i="11"/>
  <c r="F506" i="11"/>
  <c r="G506" i="11"/>
  <c r="I506" i="11"/>
  <c r="D508" i="11" l="1"/>
  <c r="J507" i="11"/>
  <c r="I507" i="11"/>
  <c r="G507" i="11"/>
  <c r="H507" i="11"/>
  <c r="F507" i="11"/>
  <c r="E507" i="11"/>
  <c r="E508" i="11" l="1"/>
  <c r="G508" i="11"/>
  <c r="H508" i="11"/>
  <c r="J508" i="11"/>
  <c r="F508" i="11"/>
  <c r="D509" i="11"/>
  <c r="I508" i="11"/>
  <c r="E509" i="11" l="1"/>
  <c r="G509" i="11"/>
  <c r="F509" i="11"/>
  <c r="J509" i="11"/>
  <c r="D510" i="11"/>
  <c r="H509" i="11"/>
  <c r="I509" i="11"/>
  <c r="F510" i="11" l="1"/>
  <c r="J510" i="11"/>
  <c r="I510" i="11"/>
  <c r="H510" i="11"/>
  <c r="E510" i="11"/>
  <c r="G510" i="11"/>
  <c r="D511" i="11"/>
  <c r="E511" i="11" l="1"/>
  <c r="G511" i="11"/>
  <c r="F511" i="11"/>
  <c r="D512" i="11"/>
  <c r="I511" i="11"/>
  <c r="H511" i="11"/>
  <c r="J511" i="11"/>
  <c r="F512" i="11" l="1"/>
  <c r="J512" i="11"/>
  <c r="H512" i="11"/>
  <c r="E512" i="11"/>
  <c r="G512" i="11"/>
  <c r="D513" i="11"/>
  <c r="I512" i="11"/>
  <c r="J513" i="11" l="1"/>
  <c r="G513" i="11"/>
  <c r="F513" i="11"/>
  <c r="D514" i="11"/>
  <c r="H513" i="11"/>
  <c r="E513" i="11"/>
  <c r="I513" i="11"/>
  <c r="D515" i="11" l="1"/>
  <c r="J514" i="11"/>
  <c r="I514" i="11"/>
  <c r="E514" i="11"/>
  <c r="G514" i="11"/>
  <c r="F514" i="11"/>
  <c r="H514" i="11"/>
  <c r="I515" i="11" l="1"/>
  <c r="G515" i="11"/>
  <c r="F515" i="11"/>
  <c r="D516" i="11"/>
  <c r="E515" i="11"/>
  <c r="H515" i="11"/>
  <c r="J515" i="11"/>
  <c r="D517" i="11" l="1"/>
  <c r="J516" i="11"/>
  <c r="E516" i="11"/>
  <c r="F516" i="11"/>
  <c r="H516" i="11"/>
  <c r="I516" i="11"/>
  <c r="G516" i="11"/>
  <c r="E517" i="11" l="1"/>
  <c r="G517" i="11"/>
  <c r="F517" i="11"/>
  <c r="H517" i="11"/>
  <c r="J517" i="11"/>
  <c r="I517" i="11"/>
  <c r="D518" i="11"/>
  <c r="G518" i="11" l="1"/>
  <c r="I518" i="11"/>
  <c r="E518" i="11"/>
  <c r="J518" i="11"/>
  <c r="D519" i="11"/>
  <c r="H518" i="11"/>
  <c r="F518" i="11"/>
  <c r="E519" i="11" l="1"/>
  <c r="G519" i="11"/>
  <c r="F519" i="11"/>
  <c r="D520" i="11"/>
  <c r="H519" i="11"/>
  <c r="J519" i="11"/>
  <c r="I519" i="11"/>
  <c r="G520" i="11" l="1"/>
  <c r="J520" i="11"/>
  <c r="I520" i="11"/>
  <c r="H520" i="11"/>
  <c r="E520" i="11"/>
  <c r="D521" i="11"/>
  <c r="F520" i="11"/>
  <c r="J521" i="11" l="1"/>
  <c r="F521" i="11"/>
  <c r="D522" i="11"/>
  <c r="I521" i="11"/>
  <c r="G521" i="11"/>
  <c r="H521" i="11"/>
  <c r="E521" i="11"/>
  <c r="H522" i="11" l="1"/>
  <c r="J522" i="11"/>
  <c r="E522" i="11"/>
  <c r="G522" i="11"/>
  <c r="F522" i="11"/>
  <c r="D523" i="11"/>
  <c r="I522" i="11"/>
  <c r="I523" i="11" l="1"/>
  <c r="F523" i="11"/>
  <c r="D524" i="11"/>
  <c r="H523" i="11"/>
  <c r="J523" i="11"/>
  <c r="G523" i="11"/>
  <c r="E523" i="11"/>
  <c r="D525" i="11" l="1"/>
  <c r="J524" i="11"/>
  <c r="I524" i="11"/>
  <c r="G524" i="11"/>
  <c r="E524" i="11"/>
  <c r="F524" i="11"/>
  <c r="H524" i="11"/>
  <c r="E525" i="11" l="1"/>
  <c r="F525" i="11"/>
  <c r="D526" i="11"/>
  <c r="H525" i="11"/>
  <c r="J525" i="11"/>
  <c r="I525" i="11"/>
  <c r="G525" i="11"/>
  <c r="D527" i="11" l="1"/>
  <c r="I526" i="11"/>
  <c r="H526" i="11"/>
  <c r="F526" i="11"/>
  <c r="J526" i="11"/>
  <c r="E526" i="11"/>
  <c r="G526" i="11"/>
  <c r="E527" i="11" l="1"/>
  <c r="G527" i="11"/>
  <c r="F527" i="11"/>
  <c r="H527" i="11"/>
  <c r="I527" i="11"/>
  <c r="D528" i="11"/>
  <c r="J527" i="11"/>
  <c r="I528" i="11" l="1"/>
  <c r="H528" i="11"/>
  <c r="E528" i="11"/>
  <c r="G528" i="11"/>
  <c r="F528" i="11"/>
  <c r="J528" i="11"/>
</calcChain>
</file>

<file path=xl/sharedStrings.xml><?xml version="1.0" encoding="utf-8"?>
<sst xmlns="http://schemas.openxmlformats.org/spreadsheetml/2006/main" count="431" uniqueCount="190">
  <si>
    <t>Name</t>
  </si>
  <si>
    <t>APR</t>
  </si>
  <si>
    <t>BABA</t>
  </si>
  <si>
    <t>ARKK</t>
  </si>
  <si>
    <t>PLTR</t>
  </si>
  <si>
    <t>QQQ</t>
  </si>
  <si>
    <t>SLV</t>
  </si>
  <si>
    <t>SPY</t>
  </si>
  <si>
    <t>TSLA</t>
  </si>
  <si>
    <t>PDBC</t>
  </si>
  <si>
    <t>GME</t>
  </si>
  <si>
    <t>AAPL</t>
  </si>
  <si>
    <t>TLT</t>
  </si>
  <si>
    <t>GOOGL</t>
  </si>
  <si>
    <t>GLD</t>
  </si>
  <si>
    <t>DFI</t>
  </si>
  <si>
    <t>URTH</t>
  </si>
  <si>
    <t>VNQ</t>
  </si>
  <si>
    <t>Gesamt</t>
  </si>
  <si>
    <t>Anteil</t>
  </si>
  <si>
    <t>Token</t>
  </si>
  <si>
    <t>dTSLA-DUSD</t>
  </si>
  <si>
    <t>DUSD-DFI</t>
  </si>
  <si>
    <t>dSLV-DUSD</t>
  </si>
  <si>
    <t>dSPY-DUSD</t>
  </si>
  <si>
    <t>dQQQ-DUSD</t>
  </si>
  <si>
    <t>dGOOGL-DUSD</t>
  </si>
  <si>
    <t>dGME-DUSD</t>
  </si>
  <si>
    <t>dPDBC-DUSD</t>
  </si>
  <si>
    <t>DUSD</t>
  </si>
  <si>
    <t>-</t>
  </si>
  <si>
    <t>dTSLA</t>
  </si>
  <si>
    <t>dGME</t>
  </si>
  <si>
    <t>dGOOGL</t>
  </si>
  <si>
    <t>dQQQ</t>
  </si>
  <si>
    <t>dSPY</t>
  </si>
  <si>
    <t>dPDBC</t>
  </si>
  <si>
    <t>dSLV</t>
  </si>
  <si>
    <t>dBTC</t>
  </si>
  <si>
    <t>dBTC-DFI</t>
  </si>
  <si>
    <t>dVNQ</t>
  </si>
  <si>
    <t>dVNQ-DUSD</t>
  </si>
  <si>
    <t>dETH</t>
  </si>
  <si>
    <t>dETH-DFI</t>
  </si>
  <si>
    <t>name</t>
  </si>
  <si>
    <t>ETH-DFI</t>
  </si>
  <si>
    <t>BTC-DFI</t>
  </si>
  <si>
    <t>USDT-DFI</t>
  </si>
  <si>
    <t>DOGE-DFI</t>
  </si>
  <si>
    <t>LTC-DFI</t>
  </si>
  <si>
    <t>BCH-DFI</t>
  </si>
  <si>
    <t>USDC-DFI</t>
  </si>
  <si>
    <t>id</t>
  </si>
  <si>
    <t>BTC</t>
  </si>
  <si>
    <t>USDT</t>
  </si>
  <si>
    <t>USDC</t>
  </si>
  <si>
    <t>ID</t>
  </si>
  <si>
    <t>Native</t>
  </si>
  <si>
    <t>Crypto</t>
  </si>
  <si>
    <t>Stock</t>
  </si>
  <si>
    <t>LM</t>
  </si>
  <si>
    <t>Stable</t>
  </si>
  <si>
    <t>dLTC-DFI</t>
  </si>
  <si>
    <t>dBCH-DFI</t>
  </si>
  <si>
    <t>dDOGE-DFI</t>
  </si>
  <si>
    <t>dUSDC-DFI</t>
  </si>
  <si>
    <t>dUSDT-DFI</t>
  </si>
  <si>
    <t>dBABA</t>
  </si>
  <si>
    <t>dPLTR</t>
  </si>
  <si>
    <t>dAAPL</t>
  </si>
  <si>
    <t>dARKK</t>
  </si>
  <si>
    <t>dLTC</t>
  </si>
  <si>
    <t>dBCH</t>
  </si>
  <si>
    <t>dDOGE</t>
  </si>
  <si>
    <t>dUSDT</t>
  </si>
  <si>
    <t>dUSDC</t>
  </si>
  <si>
    <t>dGLD</t>
  </si>
  <si>
    <t>dBABA-DUSD</t>
  </si>
  <si>
    <t>dURTH</t>
  </si>
  <si>
    <t>dPLTR-DUSD</t>
  </si>
  <si>
    <t>dAAPL-DUSD</t>
  </si>
  <si>
    <t>dTLT</t>
  </si>
  <si>
    <t>dARKK-DUSD</t>
  </si>
  <si>
    <t>dGLD-DUSD</t>
  </si>
  <si>
    <t>dURTH-DUSD</t>
  </si>
  <si>
    <t>dTLT-DUSD</t>
  </si>
  <si>
    <t>gesamt LT</t>
  </si>
  <si>
    <t>A</t>
  </si>
  <si>
    <t>B</t>
  </si>
  <si>
    <t>B/A</t>
  </si>
  <si>
    <t>Liquidity-Mining</t>
  </si>
  <si>
    <t>Collateral</t>
  </si>
  <si>
    <t>Loan</t>
  </si>
  <si>
    <t>Amount</t>
  </si>
  <si>
    <t>|</t>
  </si>
  <si>
    <t>DUSD/Token</t>
  </si>
  <si>
    <t>DUSD/DFI</t>
  </si>
  <si>
    <t>idx</t>
  </si>
  <si>
    <t>TVL</t>
  </si>
  <si>
    <t>USD</t>
  </si>
  <si>
    <t>Liquidity Token</t>
  </si>
  <si>
    <t>A/B</t>
  </si>
  <si>
    <t>CEX</t>
  </si>
  <si>
    <t>DEX</t>
  </si>
  <si>
    <t>Arbitrage</t>
  </si>
  <si>
    <t>Ratio</t>
  </si>
  <si>
    <t>Scheme</t>
  </si>
  <si>
    <t>Interest</t>
  </si>
  <si>
    <t>Collateral Netto</t>
  </si>
  <si>
    <t>Total</t>
  </si>
  <si>
    <t>Day</t>
  </si>
  <si>
    <t>Week</t>
  </si>
  <si>
    <t>Month</t>
  </si>
  <si>
    <t>Year</t>
  </si>
  <si>
    <t>Eunos</t>
  </si>
  <si>
    <t>EunosKampung</t>
  </si>
  <si>
    <t>AMK</t>
  </si>
  <si>
    <t>Bayfront</t>
  </si>
  <si>
    <t>BayfrontMarina</t>
  </si>
  <si>
    <t>BayfrontGardens</t>
  </si>
  <si>
    <t>ClarkeQuay</t>
  </si>
  <si>
    <t>Dakota</t>
  </si>
  <si>
    <t>DakotaCrescent</t>
  </si>
  <si>
    <t>EunosPaya</t>
  </si>
  <si>
    <t>FortCanning</t>
  </si>
  <si>
    <t>FortCanningMuseum</t>
  </si>
  <si>
    <t>Block</t>
  </si>
  <si>
    <t>R</t>
  </si>
  <si>
    <t>%</t>
  </si>
  <si>
    <t>Hour</t>
  </si>
  <si>
    <t>Minute</t>
  </si>
  <si>
    <t>API</t>
  </si>
  <si>
    <t>Initial</t>
  </si>
  <si>
    <t>My Portfolio</t>
  </si>
  <si>
    <t>Liquidity Crypto</t>
  </si>
  <si>
    <t>Liquidity dToken</t>
  </si>
  <si>
    <t>Vault Netto</t>
  </si>
  <si>
    <t>Wallet</t>
  </si>
  <si>
    <t>Reward</t>
  </si>
  <si>
    <t>Jahr</t>
  </si>
  <si>
    <t>Monat</t>
  </si>
  <si>
    <t>Stunde</t>
  </si>
  <si>
    <t>Tag</t>
  </si>
  <si>
    <t>Woche</t>
  </si>
  <si>
    <t>Gesamt-APR</t>
  </si>
  <si>
    <t>Epoch</t>
  </si>
  <si>
    <t>Epoche</t>
  </si>
  <si>
    <t>FortCanningPark</t>
  </si>
  <si>
    <t>last Block</t>
  </si>
  <si>
    <t>Address</t>
  </si>
  <si>
    <t>Ratio:</t>
  </si>
  <si>
    <t>blocks</t>
  </si>
  <si>
    <t>reduction</t>
  </si>
  <si>
    <t>epochs</t>
  </si>
  <si>
    <t>time</t>
  </si>
  <si>
    <t>address</t>
  </si>
  <si>
    <t>blocktime</t>
  </si>
  <si>
    <t>11 days, 8 hours, 25 minutes</t>
  </si>
  <si>
    <t>effective reduction</t>
  </si>
  <si>
    <t>monthly</t>
  </si>
  <si>
    <t>yearly</t>
  </si>
  <si>
    <t>pair</t>
  </si>
  <si>
    <t>DFI/block</t>
  </si>
  <si>
    <t>share</t>
  </si>
  <si>
    <t>block height</t>
  </si>
  <si>
    <t>date</t>
  </si>
  <si>
    <t>loan</t>
  </si>
  <si>
    <t>block</t>
  </si>
  <si>
    <t>epoch</t>
  </si>
  <si>
    <t>total</t>
  </si>
  <si>
    <t>masternode</t>
  </si>
  <si>
    <t>LM-crypto</t>
  </si>
  <si>
    <t>community</t>
  </si>
  <si>
    <t>anchor</t>
  </si>
  <si>
    <t>LM-stock</t>
  </si>
  <si>
    <t>other</t>
  </si>
  <si>
    <t>type</t>
  </si>
  <si>
    <t>detail</t>
  </si>
  <si>
    <t>id2</t>
  </si>
  <si>
    <t>you pay:</t>
  </si>
  <si>
    <t>you get:</t>
  </si>
  <si>
    <t>TARA</t>
  </si>
  <si>
    <t>dEEM-DUSD</t>
  </si>
  <si>
    <t>dAMZN-DUSD</t>
  </si>
  <si>
    <t>dNVDA-DUSD</t>
  </si>
  <si>
    <t>dCOIN-DUSD</t>
  </si>
  <si>
    <t>EEM</t>
  </si>
  <si>
    <t>AMZN</t>
  </si>
  <si>
    <t>NVDA</t>
  </si>
  <si>
    <t>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</si>
</sst>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7">
    <numFmt numFmtId="43" formatCode="_-* #,##0.00_-;\-* #,##0.00_-;_-* &quot;-&quot;??_-;_-@_-"/>
    <numFmt numFmtId="164" formatCode="0&quot; DFI&quot;"/>
    <numFmt numFmtId="165" formatCode="0.0%"/>
    <numFmt numFmtId="166" formatCode="#,##0.00&quot; USD&quot;"/>
    <numFmt numFmtId="167" formatCode="#,##0.00&quot; $&quot;"/>
    <numFmt numFmtId="168" formatCode="0.000000%"/>
    <numFmt numFmtId="169" formatCode="0_ ;\-0\ "/>
    <numFmt numFmtId="170" formatCode="_-* #,##0_-;\-* #,##0_-;_-* &quot;-&quot;??_-;_-@_-"/>
    <numFmt numFmtId="171" formatCode="_-* #,##0.0_-;\-* #,##0.0_-;_-* &quot;&quot;????????_-;_-@_-"/>
    <numFmt numFmtId="172" formatCode="_-* #,##0.00000000_-;\-* #,##0.00000000_-;_-* &quot;&quot;????????_-;_-@_-"/>
    <numFmt numFmtId="173" formatCode="_-* #,##0_-;\-* #,##0_-;_-* &quot;&quot;????????_-;_-@_-"/>
    <numFmt numFmtId="174" formatCode="0.0&quot; DFI&quot;"/>
    <numFmt numFmtId="175" formatCode="#,##0.0&quot; DFI&quot;"/>
    <numFmt numFmtId="176" formatCode="#,##0.00000000&quot; BTC&quot;"/>
    <numFmt numFmtId="177" formatCode="#,##0.00000000_ ;\-#,##0.00000000\ "/>
    <numFmt numFmtId="178" formatCode="#,##0.000&quot; DFI&quot;"/>
    <numFmt numFmtId="179" formatCode="#,##0.00000000"/>
    <numFmt numFmtId="180" formatCode="_-* #,##0.0_-;\-* #,##0.0_-;_-* &quot;&quot;??_-;_-@_-"/>
    <numFmt numFmtId="181" formatCode="_-* #,##0.00_-;\-* #,##0.00_-;_-* &quot;&quot;??_-;_-@_-"/>
    <numFmt numFmtId="182" formatCode="_-* #,##0.00000_-;\-* #,##0.00000_-;_-* &quot;&quot;??_-;_-@_-"/>
    <numFmt numFmtId="183" formatCode="_-* #,##0.00000000_-;\-* #,##0.00000000_-;_-* &quot;&quot;??_-;_-@_-"/>
    <numFmt numFmtId="184" formatCode="#,##0.00&quot; DUSD&quot;"/>
    <numFmt numFmtId="185" formatCode="_-* #,##0.000_-;\-* #,##0.000_-;_-* &quot;&quot;??_-;_-@_-"/>
    <numFmt numFmtId="186" formatCode="0.0000%"/>
    <numFmt numFmtId="187" formatCode="0.00000000"/>
    <numFmt numFmtId="188" formatCode="#,##0&quot; USD&quot;"/>
    <numFmt numFmtId="189" formatCode="0.0&quot; %&quot;"/>
    <numFmt numFmtId="190" formatCode="#,##0.00&quot; $/DFI&quot;"/>
    <numFmt numFmtId="191" formatCode="#,##0.00&quot; $/BTC&quot;"/>
    <numFmt numFmtId="192" formatCode="0.000%"/>
    <numFmt numFmtId="193" formatCode="0.000000000000"/>
    <numFmt numFmtId="194" formatCode="dd/mm/yyyy&quot; - &quot;hh:mm:ss"/>
    <numFmt numFmtId="195" formatCode="#,##0&quot; sec&quot;"/>
    <numFmt numFmtId="196" formatCode="0.0000000"/>
    <numFmt numFmtId="197" formatCode="&quot;Block: &quot;#,##0"/>
    <numFmt numFmtId="198" formatCode="#,##0.00&quot; €&quot;"/>
    <numFmt numFmtId="199" formatCode="#,##0.0000&quot; $/€&quot;"/>
    <numFmt numFmtId="200" formatCode="#,##0.00&quot; €/DFI&quot;"/>
    <numFmt numFmtId="201" formatCode="#,##0.00&quot; €/BTC&quot;"/>
    <numFmt numFmtId="202" formatCode="0.00&quot; DFI&quot;"/>
    <numFmt numFmtId="203" formatCode="0.00000000&quot; DFI&quot;"/>
    <numFmt numFmtId="204" formatCode="#,##0.00000000&quot; DFI&quot;"/>
    <numFmt numFmtId="205" formatCode="#,##0.00000000&quot; USDT&quot;"/>
    <numFmt numFmtId="206" formatCode="#,##0.00000000&quot; USDC&quot;"/>
    <numFmt numFmtId="207" formatCode="#,##0&quot; %&quot;"/>
    <numFmt numFmtId="208" formatCode="#,##0.0&quot; %&quot;"/>
    <numFmt numFmtId="209" formatCode="_-* #,##0.0000_-;\-* #,##0.0000_-;_-* &quot;&quot;????????_-;_-@_-"/>
  </numFmts>
  <fonts count="1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0"/>
      <name val="Arial"/>
      <family val="2"/>
    </font>
    <font>
      <b/>
      <u/>
      <sz val="10"/>
      <color theme="10"/>
      <name val="Arial"/>
      <family val="2"/>
    </font>
    <font>
      <b/>
      <sz val="14"/>
      <name val="Arial"/>
      <family val="2"/>
    </font>
    <font>
      <b/>
      <sz val="14"/>
      <color theme="0" tint="-0.499984740745262"/>
      <name val="Arial"/>
      <family val="2"/>
    </font>
    <font>
      <b/>
      <sz val="10"/>
      <color theme="1" tint="0.499984740745262"/>
      <name val="Arial"/>
      <family val="2"/>
    </font>
    <font>
      <b/>
      <i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6" tint="0.39997558519241921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446">
    <xf numFmtId="0" fontId="0" fillId="0" borderId="0" xfId="0" applyFont="1" applyAlignment="1"/>
    <xf numFmtId="9" fontId="0" fillId="0" borderId="0" xfId="1" applyFont="1" applyAlignment="1"/>
    <xf numFmtId="0" fontId="4" fillId="0" borderId="0" xfId="0" applyFont="1" applyAlignment="1"/>
    <xf numFmtId="166" fontId="0" fillId="0" borderId="0" xfId="0" applyNumberFormat="1" applyFont="1" applyAlignment="1"/>
    <xf numFmtId="1" fontId="0" fillId="0" borderId="0" xfId="0" applyNumberFormat="1" applyFont="1" applyAlignment="1"/>
    <xf numFmtId="0" fontId="0" fillId="3" borderId="1" xfId="0" applyFont="1" applyFill="1" applyBorder="1" applyAlignment="1"/>
    <xf numFmtId="0" fontId="3" fillId="3" borderId="1" xfId="0" applyFont="1" applyFill="1" applyBorder="1" applyAlignment="1"/>
    <xf numFmtId="0" fontId="5" fillId="3" borderId="1" xfId="0" applyFont="1" applyFill="1" applyBorder="1" applyAlignment="1"/>
    <xf numFmtId="0" fontId="4" fillId="3" borderId="1" xfId="0" applyFont="1" applyFill="1" applyBorder="1" applyAlignment="1">
      <alignment horizontal="center" vertical="center"/>
    </xf>
    <xf numFmtId="10" fontId="0" fillId="0" borderId="0" xfId="1" applyNumberFormat="1" applyFont="1" applyAlignment="1"/>
    <xf numFmtId="169" fontId="0" fillId="0" borderId="0" xfId="3" applyNumberFormat="1" applyFont="1" applyAlignment="1"/>
    <xf numFmtId="1" fontId="0" fillId="0" borderId="0" xfId="1" applyNumberFormat="1" applyFont="1" applyAlignment="1"/>
    <xf numFmtId="0" fontId="0" fillId="0" borderId="0" xfId="0" applyFont="1" applyAlignment="1">
      <alignment horizontal="center"/>
    </xf>
    <xf numFmtId="170" fontId="0" fillId="0" borderId="0" xfId="3" applyNumberFormat="1" applyFont="1" applyAlignment="1"/>
    <xf numFmtId="4" fontId="0" fillId="0" borderId="0" xfId="3" applyNumberFormat="1" applyFont="1" applyAlignment="1"/>
    <xf numFmtId="0" fontId="4" fillId="5" borderId="1" xfId="0" applyFont="1" applyFill="1" applyBorder="1" applyAlignment="1"/>
    <xf numFmtId="0" fontId="3" fillId="0" borderId="1" xfId="0" applyFont="1" applyFill="1" applyBorder="1" applyAlignment="1"/>
    <xf numFmtId="0" fontId="0" fillId="0" borderId="1" xfId="0" applyFont="1" applyFill="1" applyBorder="1" applyAlignment="1"/>
    <xf numFmtId="0" fontId="0" fillId="3" borderId="3" xfId="0" applyFont="1" applyFill="1" applyBorder="1" applyAlignment="1"/>
    <xf numFmtId="0" fontId="3" fillId="0" borderId="2" xfId="0" applyFont="1" applyFill="1" applyBorder="1" applyAlignment="1"/>
    <xf numFmtId="0" fontId="4" fillId="5" borderId="6" xfId="0" applyFont="1" applyFill="1" applyBorder="1" applyAlignment="1"/>
    <xf numFmtId="0" fontId="4" fillId="5" borderId="5" xfId="0" applyFont="1" applyFill="1" applyBorder="1" applyAlignment="1"/>
    <xf numFmtId="0" fontId="4" fillId="5" borderId="7" xfId="0" applyFont="1" applyFill="1" applyBorder="1" applyAlignment="1"/>
    <xf numFmtId="0" fontId="0" fillId="3" borderId="8" xfId="0" applyFont="1" applyFill="1" applyBorder="1" applyAlignment="1"/>
    <xf numFmtId="0" fontId="0" fillId="0" borderId="9" xfId="0" applyFont="1" applyFill="1" applyBorder="1" applyAlignment="1"/>
    <xf numFmtId="0" fontId="7" fillId="3" borderId="1" xfId="0" applyFont="1" applyFill="1" applyBorder="1" applyAlignment="1"/>
    <xf numFmtId="0" fontId="3" fillId="3" borderId="3" xfId="0" applyFont="1" applyFill="1" applyBorder="1" applyAlignment="1"/>
    <xf numFmtId="0" fontId="3" fillId="3" borderId="8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/>
    <xf numFmtId="171" fontId="5" fillId="9" borderId="1" xfId="0" applyNumberFormat="1" applyFont="1" applyFill="1" applyBorder="1" applyAlignment="1">
      <alignment horizontal="right"/>
    </xf>
    <xf numFmtId="171" fontId="5" fillId="2" borderId="1" xfId="0" applyNumberFormat="1" applyFont="1" applyFill="1" applyBorder="1" applyAlignment="1">
      <alignment horizontal="right"/>
    </xf>
    <xf numFmtId="171" fontId="7" fillId="2" borderId="1" xfId="0" applyNumberFormat="1" applyFont="1" applyFill="1" applyBorder="1" applyAlignment="1">
      <alignment horizontal="right"/>
    </xf>
    <xf numFmtId="171" fontId="7" fillId="9" borderId="1" xfId="0" applyNumberFormat="1" applyFont="1" applyFill="1" applyBorder="1" applyAlignment="1">
      <alignment horizontal="right"/>
    </xf>
    <xf numFmtId="0" fontId="5" fillId="10" borderId="1" xfId="0" applyFont="1" applyFill="1" applyBorder="1" applyAlignment="1"/>
    <xf numFmtId="172" fontId="5" fillId="10" borderId="1" xfId="0" applyNumberFormat="1" applyFont="1" applyFill="1" applyBorder="1" applyAlignment="1">
      <alignment horizontal="right"/>
    </xf>
    <xf numFmtId="172" fontId="5" fillId="3" borderId="1" xfId="0" applyNumberFormat="1" applyFont="1" applyFill="1" applyBorder="1" applyAlignment="1">
      <alignment horizontal="right"/>
    </xf>
    <xf numFmtId="172" fontId="7" fillId="3" borderId="1" xfId="0" applyNumberFormat="1" applyFont="1" applyFill="1" applyBorder="1" applyAlignment="1">
      <alignment horizontal="right"/>
    </xf>
    <xf numFmtId="0" fontId="7" fillId="10" borderId="1" xfId="0" applyFont="1" applyFill="1" applyBorder="1" applyAlignment="1"/>
    <xf numFmtId="172" fontId="7" fillId="10" borderId="1" xfId="0" applyNumberFormat="1" applyFont="1" applyFill="1" applyBorder="1" applyAlignment="1">
      <alignment horizontal="right"/>
    </xf>
    <xf numFmtId="171" fontId="7" fillId="2" borderId="11" xfId="0" applyNumberFormat="1" applyFont="1" applyFill="1" applyBorder="1" applyAlignment="1">
      <alignment horizontal="right"/>
    </xf>
    <xf numFmtId="0" fontId="7" fillId="3" borderId="14" xfId="0" applyFont="1" applyFill="1" applyBorder="1" applyAlignment="1"/>
    <xf numFmtId="0" fontId="7" fillId="10" borderId="11" xfId="0" applyFont="1" applyFill="1" applyBorder="1" applyAlignment="1"/>
    <xf numFmtId="0" fontId="5" fillId="10" borderId="13" xfId="0" applyFont="1" applyFill="1" applyBorder="1" applyAlignment="1"/>
    <xf numFmtId="171" fontId="7" fillId="8" borderId="13" xfId="0" applyNumberFormat="1" applyFont="1" applyFill="1" applyBorder="1" applyAlignment="1">
      <alignment horizontal="right"/>
    </xf>
    <xf numFmtId="171" fontId="7" fillId="6" borderId="11" xfId="0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/>
    <xf numFmtId="0" fontId="9" fillId="11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/>
    <xf numFmtId="0" fontId="3" fillId="3" borderId="1" xfId="0" applyFont="1" applyFill="1" applyBorder="1" applyAlignment="1">
      <alignment horizontal="center" vertical="center"/>
    </xf>
    <xf numFmtId="182" fontId="5" fillId="3" borderId="1" xfId="3" applyNumberFormat="1" applyFont="1" applyFill="1" applyBorder="1" applyAlignment="1"/>
    <xf numFmtId="181" fontId="5" fillId="3" borderId="1" xfId="3" applyNumberFormat="1" applyFont="1" applyFill="1" applyBorder="1" applyAlignment="1"/>
    <xf numFmtId="180" fontId="5" fillId="3" borderId="1" xfId="3" applyNumberFormat="1" applyFont="1" applyFill="1" applyBorder="1" applyAlignment="1"/>
    <xf numFmtId="177" fontId="5" fillId="3" borderId="1" xfId="3" applyNumberFormat="1" applyFont="1" applyFill="1" applyBorder="1" applyAlignment="1">
      <alignment horizontal="center" vertical="center"/>
    </xf>
    <xf numFmtId="175" fontId="0" fillId="11" borderId="1" xfId="0" applyNumberFormat="1" applyFont="1" applyFill="1" applyBorder="1" applyAlignment="1"/>
    <xf numFmtId="178" fontId="0" fillId="11" borderId="1" xfId="0" applyNumberFormat="1" applyFont="1" applyFill="1" applyBorder="1" applyAlignment="1"/>
    <xf numFmtId="184" fontId="0" fillId="13" borderId="1" xfId="0" applyNumberFormat="1" applyFont="1" applyFill="1" applyBorder="1" applyAlignment="1"/>
    <xf numFmtId="175" fontId="4" fillId="11" borderId="1" xfId="0" applyNumberFormat="1" applyFont="1" applyFill="1" applyBorder="1" applyAlignment="1"/>
    <xf numFmtId="184" fontId="4" fillId="13" borderId="1" xfId="0" applyNumberFormat="1" applyFont="1" applyFill="1" applyBorder="1" applyAlignment="1"/>
    <xf numFmtId="168" fontId="0" fillId="0" borderId="0" xfId="1" applyNumberFormat="1" applyFont="1" applyAlignment="1"/>
    <xf numFmtId="185" fontId="5" fillId="3" borderId="1" xfId="3" applyNumberFormat="1" applyFont="1" applyFill="1" applyBorder="1" applyAlignment="1"/>
    <xf numFmtId="2" fontId="0" fillId="0" borderId="0" xfId="3" applyNumberFormat="1" applyFont="1" applyAlignment="1"/>
    <xf numFmtId="0" fontId="6" fillId="5" borderId="1" xfId="2" applyFill="1" applyBorder="1" applyAlignment="1"/>
    <xf numFmtId="165" fontId="0" fillId="0" borderId="0" xfId="1" applyNumberFormat="1" applyFont="1" applyAlignment="1"/>
    <xf numFmtId="2" fontId="0" fillId="0" borderId="0" xfId="0" applyNumberFormat="1" applyFont="1" applyAlignment="1"/>
    <xf numFmtId="187" fontId="0" fillId="0" borderId="0" xfId="0" applyNumberFormat="1" applyFont="1" applyAlignment="1"/>
    <xf numFmtId="0" fontId="4" fillId="5" borderId="3" xfId="0" applyFont="1" applyFill="1" applyBorder="1" applyAlignment="1">
      <alignment horizontal="center"/>
    </xf>
    <xf numFmtId="0" fontId="10" fillId="5" borderId="1" xfId="2" applyFont="1" applyFill="1" applyBorder="1" applyAlignment="1"/>
    <xf numFmtId="189" fontId="0" fillId="0" borderId="0" xfId="1" applyNumberFormat="1" applyFont="1" applyAlignment="1"/>
    <xf numFmtId="0" fontId="0" fillId="0" borderId="0" xfId="0" applyFont="1" applyAlignment="1">
      <alignment horizontal="left"/>
    </xf>
    <xf numFmtId="170" fontId="0" fillId="0" borderId="0" xfId="3" applyNumberFormat="1" applyFont="1" applyAlignment="1">
      <alignment horizontal="left"/>
    </xf>
    <xf numFmtId="170" fontId="3" fillId="0" borderId="0" xfId="3" applyNumberFormat="1" applyFont="1" applyAlignment="1">
      <alignment horizontal="left"/>
    </xf>
    <xf numFmtId="186" fontId="5" fillId="10" borderId="1" xfId="1" applyNumberFormat="1" applyFont="1" applyFill="1" applyBorder="1" applyAlignment="1">
      <alignment horizontal="right"/>
    </xf>
    <xf numFmtId="186" fontId="5" fillId="10" borderId="11" xfId="1" applyNumberFormat="1" applyFont="1" applyFill="1" applyBorder="1" applyAlignment="1">
      <alignment horizontal="right"/>
    </xf>
    <xf numFmtId="186" fontId="5" fillId="10" borderId="13" xfId="1" applyNumberFormat="1" applyFont="1" applyFill="1" applyBorder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171" fontId="5" fillId="0" borderId="0" xfId="0" applyNumberFormat="1" applyFont="1" applyAlignment="1"/>
    <xf numFmtId="0" fontId="4" fillId="5" borderId="1" xfId="0" applyFont="1" applyFill="1" applyBorder="1" applyAlignment="1">
      <alignment horizontal="left"/>
    </xf>
    <xf numFmtId="0" fontId="0" fillId="0" borderId="0" xfId="0" applyFont="1" applyFill="1" applyAlignment="1"/>
    <xf numFmtId="0" fontId="1" fillId="0" borderId="0" xfId="0" applyFont="1" applyFill="1" applyAlignment="1"/>
    <xf numFmtId="10" fontId="1" fillId="0" borderId="0" xfId="0" applyNumberFormat="1" applyFont="1" applyFill="1" applyAlignment="1"/>
    <xf numFmtId="0" fontId="3" fillId="0" borderId="0" xfId="0" applyFont="1" applyAlignment="1"/>
    <xf numFmtId="167" fontId="3" fillId="3" borderId="1" xfId="0" applyNumberFormat="1" applyFont="1" applyFill="1" applyBorder="1" applyAlignment="1">
      <alignment horizontal="center" vertical="center"/>
    </xf>
    <xf numFmtId="167" fontId="5" fillId="3" borderId="1" xfId="3" applyNumberFormat="1" applyFont="1" applyFill="1" applyBorder="1" applyAlignment="1"/>
    <xf numFmtId="167" fontId="0" fillId="0" borderId="0" xfId="0" applyNumberFormat="1" applyFont="1" applyAlignment="1"/>
    <xf numFmtId="0" fontId="4" fillId="3" borderId="1" xfId="0" applyFont="1" applyFill="1" applyBorder="1" applyAlignment="1">
      <alignment horizontal="left"/>
    </xf>
    <xf numFmtId="165" fontId="4" fillId="3" borderId="1" xfId="1" applyNumberFormat="1" applyFont="1" applyFill="1" applyBorder="1" applyAlignment="1">
      <alignment horizontal="right"/>
    </xf>
    <xf numFmtId="167" fontId="4" fillId="3" borderId="1" xfId="0" applyNumberFormat="1" applyFont="1" applyFill="1" applyBorder="1" applyAlignment="1">
      <alignment horizontal="right"/>
    </xf>
    <xf numFmtId="9" fontId="4" fillId="3" borderId="1" xfId="1" applyFont="1" applyFill="1" applyBorder="1" applyAlignment="1">
      <alignment horizontal="right"/>
    </xf>
    <xf numFmtId="192" fontId="0" fillId="0" borderId="0" xfId="1" applyNumberFormat="1" applyFont="1" applyAlignment="1"/>
    <xf numFmtId="9" fontId="0" fillId="0" borderId="0" xfId="0" applyNumberFormat="1" applyFont="1" applyAlignment="1"/>
    <xf numFmtId="0" fontId="3" fillId="3" borderId="12" xfId="0" applyFont="1" applyFill="1" applyBorder="1" applyAlignment="1"/>
    <xf numFmtId="0" fontId="3" fillId="3" borderId="14" xfId="0" applyFont="1" applyFill="1" applyBorder="1" applyAlignment="1"/>
    <xf numFmtId="0" fontId="3" fillId="3" borderId="15" xfId="0" applyFont="1" applyFill="1" applyBorder="1" applyAlignment="1"/>
    <xf numFmtId="9" fontId="0" fillId="0" borderId="0" xfId="1" applyFont="1" applyAlignment="1">
      <alignment horizontal="center"/>
    </xf>
    <xf numFmtId="11" fontId="0" fillId="0" borderId="0" xfId="0" applyNumberFormat="1" applyFont="1" applyAlignment="1"/>
    <xf numFmtId="10" fontId="0" fillId="5" borderId="1" xfId="1" applyNumberFormat="1" applyFont="1" applyFill="1" applyBorder="1" applyAlignment="1"/>
    <xf numFmtId="192" fontId="0" fillId="3" borderId="1" xfId="1" applyNumberFormat="1" applyFont="1" applyFill="1" applyBorder="1" applyAlignment="1"/>
    <xf numFmtId="1" fontId="0" fillId="3" borderId="1" xfId="1" applyNumberFormat="1" applyFont="1" applyFill="1" applyBorder="1" applyAlignment="1"/>
    <xf numFmtId="14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/>
    <xf numFmtId="193" fontId="0" fillId="0" borderId="0" xfId="0" applyNumberFormat="1" applyFont="1" applyAlignment="1"/>
    <xf numFmtId="0" fontId="0" fillId="5" borderId="1" xfId="0" applyFont="1" applyFill="1" applyBorder="1" applyAlignment="1"/>
    <xf numFmtId="10" fontId="4" fillId="5" borderId="1" xfId="1" applyNumberFormat="1" applyFont="1" applyFill="1" applyBorder="1" applyAlignment="1"/>
    <xf numFmtId="1" fontId="0" fillId="3" borderId="1" xfId="0" applyNumberFormat="1" applyFont="1" applyFill="1" applyBorder="1" applyAlignment="1"/>
    <xf numFmtId="193" fontId="0" fillId="3" borderId="1" xfId="0" applyNumberFormat="1" applyFont="1" applyFill="1" applyBorder="1" applyAlignment="1"/>
    <xf numFmtId="187" fontId="0" fillId="3" borderId="1" xfId="0" applyNumberFormat="1" applyFont="1" applyFill="1" applyBorder="1" applyAlignment="1"/>
    <xf numFmtId="194" fontId="0" fillId="0" borderId="0" xfId="0" applyNumberFormat="1" applyFont="1" applyAlignment="1"/>
    <xf numFmtId="195" fontId="0" fillId="3" borderId="1" xfId="0" applyNumberFormat="1" applyFont="1" applyFill="1" applyBorder="1" applyAlignment="1"/>
    <xf numFmtId="10" fontId="4" fillId="5" borderId="1" xfId="0" applyNumberFormat="1" applyFont="1" applyFill="1" applyBorder="1" applyAlignment="1"/>
    <xf numFmtId="0" fontId="3" fillId="3" borderId="1" xfId="0" applyFont="1" applyFill="1" applyBorder="1" applyAlignment="1">
      <alignment vertical="center" wrapText="1"/>
    </xf>
    <xf numFmtId="2" fontId="3" fillId="3" borderId="1" xfId="0" applyNumberFormat="1" applyFont="1" applyFill="1" applyBorder="1" applyAlignment="1">
      <alignment vertical="center" wrapText="1"/>
    </xf>
    <xf numFmtId="2" fontId="3" fillId="3" borderId="1" xfId="0" applyNumberFormat="1" applyFont="1" applyFill="1" applyBorder="1" applyAlignment="1"/>
    <xf numFmtId="0" fontId="4" fillId="3" borderId="1" xfId="0" applyFont="1" applyFill="1" applyBorder="1" applyAlignment="1">
      <alignment vertical="center" wrapText="1"/>
    </xf>
    <xf numFmtId="2" fontId="4" fillId="3" borderId="1" xfId="0" applyNumberFormat="1" applyFont="1" applyFill="1" applyBorder="1" applyAlignment="1"/>
    <xf numFmtId="10" fontId="5" fillId="10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/>
    <xf numFmtId="165" fontId="3" fillId="3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79" fontId="0" fillId="0" borderId="0" xfId="0" applyNumberFormat="1" applyFont="1" applyAlignment="1">
      <alignment horizontal="right"/>
    </xf>
    <xf numFmtId="198" fontId="0" fillId="0" borderId="0" xfId="0" applyNumberFormat="1" applyFont="1" applyAlignment="1">
      <alignment horizontal="right"/>
    </xf>
    <xf numFmtId="200" fontId="4" fillId="3" borderId="1" xfId="0" applyNumberFormat="1" applyFont="1" applyFill="1" applyBorder="1" applyAlignment="1">
      <alignment horizontal="right" vertical="center"/>
    </xf>
    <xf numFmtId="201" fontId="4" fillId="3" borderId="1" xfId="0" applyNumberFormat="1" applyFont="1" applyFill="1" applyBorder="1" applyAlignment="1">
      <alignment horizontal="right" vertical="center"/>
    </xf>
    <xf numFmtId="172" fontId="5" fillId="10" borderId="12" xfId="0" applyNumberFormat="1" applyFont="1" applyFill="1" applyBorder="1" applyAlignment="1">
      <alignment horizontal="right"/>
    </xf>
    <xf numFmtId="172" fontId="5" fillId="10" borderId="13" xfId="0" applyNumberFormat="1" applyFont="1" applyFill="1" applyBorder="1" applyAlignment="1">
      <alignment horizontal="right"/>
    </xf>
    <xf numFmtId="171" fontId="5" fillId="9" borderId="13" xfId="0" applyNumberFormat="1" applyFont="1" applyFill="1" applyBorder="1" applyAlignment="1">
      <alignment horizontal="right"/>
    </xf>
    <xf numFmtId="172" fontId="5" fillId="3" borderId="14" xfId="0" applyNumberFormat="1" applyFont="1" applyFill="1" applyBorder="1" applyAlignment="1">
      <alignment horizontal="right"/>
    </xf>
    <xf numFmtId="172" fontId="5" fillId="10" borderId="14" xfId="0" applyNumberFormat="1" applyFont="1" applyFill="1" applyBorder="1" applyAlignment="1">
      <alignment horizontal="right"/>
    </xf>
    <xf numFmtId="172" fontId="7" fillId="3" borderId="14" xfId="0" applyNumberFormat="1" applyFont="1" applyFill="1" applyBorder="1" applyAlignment="1">
      <alignment horizontal="right"/>
    </xf>
    <xf numFmtId="172" fontId="7" fillId="10" borderId="14" xfId="0" applyNumberFormat="1" applyFont="1" applyFill="1" applyBorder="1" applyAlignment="1">
      <alignment horizontal="right"/>
    </xf>
    <xf numFmtId="172" fontId="7" fillId="3" borderId="15" xfId="0" applyNumberFormat="1" applyFont="1" applyFill="1" applyBorder="1" applyAlignment="1">
      <alignment horizontal="right"/>
    </xf>
    <xf numFmtId="172" fontId="7" fillId="10" borderId="12" xfId="0" applyNumberFormat="1" applyFont="1" applyFill="1" applyBorder="1" applyAlignment="1">
      <alignment horizontal="right"/>
    </xf>
    <xf numFmtId="9" fontId="0" fillId="0" borderId="0" xfId="1" applyFont="1" applyBorder="1" applyAlignment="1"/>
    <xf numFmtId="0" fontId="4" fillId="5" borderId="5" xfId="0" applyFont="1" applyFill="1" applyBorder="1" applyAlignment="1">
      <alignment horizontal="left"/>
    </xf>
    <xf numFmtId="0" fontId="4" fillId="2" borderId="1" xfId="0" applyFont="1" applyFill="1" applyBorder="1" applyAlignment="1"/>
    <xf numFmtId="0" fontId="4" fillId="14" borderId="1" xfId="0" applyFont="1" applyFill="1" applyBorder="1" applyAlignment="1"/>
    <xf numFmtId="0" fontId="4" fillId="7" borderId="1" xfId="0" applyFont="1" applyFill="1" applyBorder="1" applyAlignment="1"/>
    <xf numFmtId="0" fontId="4" fillId="12" borderId="1" xfId="0" applyFont="1" applyFill="1" applyBorder="1" applyAlignment="1"/>
    <xf numFmtId="204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205" fontId="0" fillId="0" borderId="0" xfId="0" applyNumberFormat="1" applyFont="1" applyAlignment="1">
      <alignment horizontal="left"/>
    </xf>
    <xf numFmtId="206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left"/>
    </xf>
    <xf numFmtId="207" fontId="0" fillId="0" borderId="0" xfId="0" applyNumberFormat="1" applyFont="1" applyAlignment="1">
      <alignment horizontal="left"/>
    </xf>
    <xf numFmtId="208" fontId="0" fillId="0" borderId="0" xfId="0" applyNumberFormat="1" applyFont="1" applyAlignment="1">
      <alignment horizontal="left"/>
    </xf>
    <xf numFmtId="0" fontId="0" fillId="15" borderId="1" xfId="0" applyFont="1" applyFill="1" applyBorder="1" applyAlignment="1"/>
    <xf numFmtId="179" fontId="0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79" fontId="5" fillId="3" borderId="1" xfId="3" applyNumberFormat="1" applyFont="1" applyFill="1" applyBorder="1" applyAlignment="1">
      <alignment horizontal="center" vertical="center"/>
    </xf>
    <xf numFmtId="183" fontId="5" fillId="3" borderId="1" xfId="3" applyNumberFormat="1" applyFont="1" applyFill="1" applyBorder="1" applyAlignment="1"/>
    <xf numFmtId="0" fontId="4" fillId="3" borderId="1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0" fontId="9" fillId="5" borderId="43" xfId="0" applyFont="1" applyFill="1" applyBorder="1" applyAlignment="1">
      <alignment horizontal="center" vertical="center"/>
    </xf>
    <xf numFmtId="0" fontId="9" fillId="5" borderId="44" xfId="0" applyFont="1" applyFill="1" applyBorder="1" applyAlignment="1">
      <alignment horizontal="center" vertical="center"/>
    </xf>
    <xf numFmtId="175" fontId="5" fillId="10" borderId="33" xfId="1" applyNumberFormat="1" applyFont="1" applyFill="1" applyBorder="1" applyAlignment="1">
      <alignment horizontal="right" vertical="center"/>
    </xf>
    <xf numFmtId="175" fontId="5" fillId="10" borderId="34" xfId="1" applyNumberFormat="1" applyFont="1" applyFill="1" applyBorder="1" applyAlignment="1">
      <alignment horizontal="right" vertical="center"/>
    </xf>
    <xf numFmtId="175" fontId="5" fillId="10" borderId="32" xfId="1" applyNumberFormat="1" applyFont="1" applyFill="1" applyBorder="1" applyAlignment="1">
      <alignment horizontal="right" vertical="center"/>
    </xf>
    <xf numFmtId="175" fontId="7" fillId="3" borderId="34" xfId="1" applyNumberFormat="1" applyFont="1" applyFill="1" applyBorder="1" applyAlignment="1">
      <alignment horizontal="right" vertical="center"/>
    </xf>
    <xf numFmtId="175" fontId="7" fillId="3" borderId="32" xfId="1" applyNumberFormat="1" applyFont="1" applyFill="1" applyBorder="1" applyAlignment="1">
      <alignment horizontal="right" vertical="center"/>
    </xf>
    <xf numFmtId="187" fontId="5" fillId="10" borderId="1" xfId="0" applyNumberFormat="1" applyFont="1" applyFill="1" applyBorder="1" applyAlignment="1"/>
    <xf numFmtId="171" fontId="7" fillId="8" borderId="1" xfId="0" applyNumberFormat="1" applyFont="1" applyFill="1" applyBorder="1" applyAlignment="1">
      <alignment horizontal="right"/>
    </xf>
    <xf numFmtId="171" fontId="7" fillId="6" borderId="1" xfId="0" applyNumberFormat="1" applyFont="1" applyFill="1" applyBorder="1" applyAlignment="1">
      <alignment horizontal="right"/>
    </xf>
    <xf numFmtId="0" fontId="9" fillId="5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/>
    <xf numFmtId="187" fontId="5" fillId="10" borderId="13" xfId="0" applyNumberFormat="1" applyFont="1" applyFill="1" applyBorder="1" applyAlignment="1"/>
    <xf numFmtId="10" fontId="5" fillId="10" borderId="13" xfId="1" applyNumberFormat="1" applyFont="1" applyFill="1" applyBorder="1" applyAlignment="1">
      <alignment horizontal="right" vertical="center"/>
    </xf>
    <xf numFmtId="0" fontId="7" fillId="3" borderId="15" xfId="0" applyFont="1" applyFill="1" applyBorder="1" applyAlignment="1"/>
    <xf numFmtId="187" fontId="5" fillId="10" borderId="11" xfId="0" applyNumberFormat="1" applyFont="1" applyFill="1" applyBorder="1" applyAlignment="1"/>
    <xf numFmtId="172" fontId="7" fillId="10" borderId="11" xfId="0" applyNumberFormat="1" applyFont="1" applyFill="1" applyBorder="1" applyAlignment="1">
      <alignment horizontal="right"/>
    </xf>
    <xf numFmtId="10" fontId="5" fillId="10" borderId="11" xfId="1" applyNumberFormat="1" applyFont="1" applyFill="1" applyBorder="1" applyAlignment="1">
      <alignment horizontal="right" vertical="center"/>
    </xf>
    <xf numFmtId="175" fontId="7" fillId="3" borderId="33" xfId="1" applyNumberFormat="1" applyFont="1" applyFill="1" applyBorder="1" applyAlignment="1">
      <alignment horizontal="right" vertical="center"/>
    </xf>
    <xf numFmtId="0" fontId="9" fillId="5" borderId="47" xfId="0" applyFont="1" applyFill="1" applyBorder="1" applyAlignment="1">
      <alignment horizontal="center" vertical="center"/>
    </xf>
    <xf numFmtId="187" fontId="5" fillId="10" borderId="12" xfId="0" applyNumberFormat="1" applyFont="1" applyFill="1" applyBorder="1" applyAlignment="1"/>
    <xf numFmtId="187" fontId="5" fillId="10" borderId="14" xfId="0" applyNumberFormat="1" applyFont="1" applyFill="1" applyBorder="1" applyAlignment="1"/>
    <xf numFmtId="187" fontId="5" fillId="10" borderId="15" xfId="0" applyNumberFormat="1" applyFont="1" applyFill="1" applyBorder="1" applyAlignment="1"/>
    <xf numFmtId="173" fontId="5" fillId="3" borderId="34" xfId="0" applyNumberFormat="1" applyFont="1" applyFill="1" applyBorder="1" applyAlignment="1">
      <alignment horizontal="right"/>
    </xf>
    <xf numFmtId="173" fontId="5" fillId="10" borderId="34" xfId="0" applyNumberFormat="1" applyFont="1" applyFill="1" applyBorder="1" applyAlignment="1">
      <alignment horizontal="right"/>
    </xf>
    <xf numFmtId="173" fontId="7" fillId="3" borderId="34" xfId="0" applyNumberFormat="1" applyFont="1" applyFill="1" applyBorder="1" applyAlignment="1">
      <alignment horizontal="right"/>
    </xf>
    <xf numFmtId="173" fontId="7" fillId="10" borderId="32" xfId="0" applyNumberFormat="1" applyFont="1" applyFill="1" applyBorder="1" applyAlignment="1">
      <alignment horizontal="right"/>
    </xf>
    <xf numFmtId="173" fontId="7" fillId="10" borderId="34" xfId="0" applyNumberFormat="1" applyFont="1" applyFill="1" applyBorder="1" applyAlignment="1">
      <alignment horizontal="right"/>
    </xf>
    <xf numFmtId="0" fontId="9" fillId="5" borderId="49" xfId="0" applyFont="1" applyFill="1" applyBorder="1" applyAlignment="1">
      <alignment horizontal="center" vertical="center"/>
    </xf>
    <xf numFmtId="173" fontId="5" fillId="10" borderId="38" xfId="0" applyNumberFormat="1" applyFont="1" applyFill="1" applyBorder="1" applyAlignment="1">
      <alignment horizontal="right"/>
    </xf>
    <xf numFmtId="9" fontId="5" fillId="3" borderId="27" xfId="1" applyFont="1" applyFill="1" applyBorder="1" applyAlignment="1">
      <alignment horizontal="right"/>
    </xf>
    <xf numFmtId="9" fontId="5" fillId="10" borderId="27" xfId="1" applyFont="1" applyFill="1" applyBorder="1" applyAlignment="1">
      <alignment horizontal="right"/>
    </xf>
    <xf numFmtId="9" fontId="7" fillId="3" borderId="27" xfId="1" applyFont="1" applyFill="1" applyBorder="1" applyAlignment="1">
      <alignment horizontal="right"/>
    </xf>
    <xf numFmtId="9" fontId="7" fillId="10" borderId="28" xfId="1" applyFont="1" applyFill="1" applyBorder="1" applyAlignment="1">
      <alignment horizontal="right"/>
    </xf>
    <xf numFmtId="190" fontId="13" fillId="3" borderId="1" xfId="0" applyNumberFormat="1" applyFont="1" applyFill="1" applyBorder="1" applyAlignment="1">
      <alignment horizontal="right" vertical="center"/>
    </xf>
    <xf numFmtId="191" fontId="13" fillId="3" borderId="1" xfId="0" applyNumberFormat="1" applyFont="1" applyFill="1" applyBorder="1" applyAlignment="1">
      <alignment horizontal="right" vertical="center"/>
    </xf>
    <xf numFmtId="9" fontId="2" fillId="0" borderId="0" xfId="1" applyFont="1" applyAlignment="1"/>
    <xf numFmtId="203" fontId="5" fillId="2" borderId="1" xfId="0" applyNumberFormat="1" applyFont="1" applyFill="1" applyBorder="1" applyAlignment="1">
      <alignment horizontal="right"/>
    </xf>
    <xf numFmtId="202" fontId="5" fillId="2" borderId="1" xfId="0" applyNumberFormat="1" applyFont="1" applyFill="1" applyBorder="1" applyAlignment="1">
      <alignment horizontal="right"/>
    </xf>
    <xf numFmtId="174" fontId="5" fillId="2" borderId="1" xfId="0" applyNumberFormat="1" applyFont="1" applyFill="1" applyBorder="1" applyAlignment="1">
      <alignment horizontal="right"/>
    </xf>
    <xf numFmtId="164" fontId="5" fillId="2" borderId="1" xfId="0" applyNumberFormat="1" applyFont="1" applyFill="1" applyBorder="1" applyAlignment="1">
      <alignment horizontal="right"/>
    </xf>
    <xf numFmtId="203" fontId="5" fillId="2" borderId="13" xfId="0" applyNumberFormat="1" applyFont="1" applyFill="1" applyBorder="1" applyAlignment="1">
      <alignment horizontal="right"/>
    </xf>
    <xf numFmtId="164" fontId="5" fillId="2" borderId="11" xfId="0" applyNumberFormat="1" applyFont="1" applyFill="1" applyBorder="1" applyAlignment="1">
      <alignment horizontal="right"/>
    </xf>
    <xf numFmtId="198" fontId="5" fillId="12" borderId="33" xfId="0" applyNumberFormat="1" applyFont="1" applyFill="1" applyBorder="1" applyAlignment="1"/>
    <xf numFmtId="198" fontId="5" fillId="12" borderId="34" xfId="0" applyNumberFormat="1" applyFont="1" applyFill="1" applyBorder="1" applyAlignment="1"/>
    <xf numFmtId="198" fontId="5" fillId="12" borderId="32" xfId="0" applyNumberFormat="1" applyFont="1" applyFill="1" applyBorder="1" applyAlignment="1"/>
    <xf numFmtId="9" fontId="5" fillId="10" borderId="29" xfId="1" applyNumberFormat="1" applyFont="1" applyFill="1" applyBorder="1" applyAlignment="1">
      <alignment horizontal="right"/>
    </xf>
    <xf numFmtId="0" fontId="5" fillId="9" borderId="39" xfId="0" applyFont="1" applyFill="1" applyBorder="1" applyAlignment="1"/>
    <xf numFmtId="0" fontId="5" fillId="9" borderId="40" xfId="0" applyFont="1" applyFill="1" applyBorder="1" applyAlignment="1"/>
    <xf numFmtId="0" fontId="5" fillId="9" borderId="34" xfId="0" applyFont="1" applyFill="1" applyBorder="1" applyAlignment="1"/>
    <xf numFmtId="0" fontId="5" fillId="9" borderId="32" xfId="0" applyFont="1" applyFill="1" applyBorder="1" applyAlignment="1"/>
    <xf numFmtId="0" fontId="5" fillId="8" borderId="34" xfId="0" applyFont="1" applyFill="1" applyBorder="1" applyAlignment="1"/>
    <xf numFmtId="0" fontId="5" fillId="8" borderId="32" xfId="0" applyFont="1" applyFill="1" applyBorder="1" applyAlignment="1"/>
    <xf numFmtId="0" fontId="5" fillId="17" borderId="13" xfId="0" applyFont="1" applyFill="1" applyBorder="1" applyAlignment="1"/>
    <xf numFmtId="0" fontId="5" fillId="17" borderId="1" xfId="0" applyFont="1" applyFill="1" applyBorder="1" applyAlignment="1"/>
    <xf numFmtId="0" fontId="5" fillId="17" borderId="11" xfId="0" applyFont="1" applyFill="1" applyBorder="1" applyAlignment="1"/>
    <xf numFmtId="0" fontId="5" fillId="16" borderId="1" xfId="0" applyFont="1" applyFill="1" applyBorder="1" applyAlignment="1"/>
    <xf numFmtId="0" fontId="5" fillId="16" borderId="11" xfId="0" applyFont="1" applyFill="1" applyBorder="1" applyAlignment="1"/>
    <xf numFmtId="0" fontId="9" fillId="5" borderId="9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0" fontId="2" fillId="3" borderId="1" xfId="0" applyFont="1" applyFill="1" applyBorder="1" applyAlignment="1"/>
    <xf numFmtId="172" fontId="5" fillId="9" borderId="13" xfId="0" applyNumberFormat="1" applyFont="1" applyFill="1" applyBorder="1" applyAlignment="1">
      <alignment horizontal="right"/>
    </xf>
    <xf numFmtId="172" fontId="5" fillId="9" borderId="1" xfId="0" applyNumberFormat="1" applyFont="1" applyFill="1" applyBorder="1" applyAlignment="1">
      <alignment horizontal="right"/>
    </xf>
    <xf numFmtId="165" fontId="5" fillId="9" borderId="13" xfId="1" applyNumberFormat="1" applyFont="1" applyFill="1" applyBorder="1" applyAlignment="1">
      <alignment horizontal="right"/>
    </xf>
    <xf numFmtId="165" fontId="5" fillId="9" borderId="1" xfId="1" applyNumberFormat="1" applyFont="1" applyFill="1" applyBorder="1" applyAlignment="1">
      <alignment horizontal="right"/>
    </xf>
    <xf numFmtId="165" fontId="5" fillId="9" borderId="11" xfId="1" applyNumberFormat="1" applyFont="1" applyFill="1" applyBorder="1" applyAlignment="1">
      <alignment horizontal="right"/>
    </xf>
    <xf numFmtId="165" fontId="7" fillId="8" borderId="13" xfId="1" applyNumberFormat="1" applyFont="1" applyFill="1" applyBorder="1" applyAlignment="1">
      <alignment horizontal="right"/>
    </xf>
    <xf numFmtId="165" fontId="7" fillId="8" borderId="1" xfId="1" applyNumberFormat="1" applyFont="1" applyFill="1" applyBorder="1" applyAlignment="1">
      <alignment horizontal="right"/>
    </xf>
    <xf numFmtId="165" fontId="7" fillId="8" borderId="11" xfId="1" applyNumberFormat="1" applyFont="1" applyFill="1" applyBorder="1" applyAlignment="1">
      <alignment horizontal="right"/>
    </xf>
    <xf numFmtId="172" fontId="7" fillId="2" borderId="11" xfId="0" applyNumberFormat="1" applyFont="1" applyFill="1" applyBorder="1" applyAlignment="1">
      <alignment horizontal="right"/>
    </xf>
    <xf numFmtId="172" fontId="5" fillId="9" borderId="11" xfId="0" applyNumberFormat="1" applyFont="1" applyFill="1" applyBorder="1" applyAlignment="1">
      <alignment horizontal="right"/>
    </xf>
    <xf numFmtId="188" fontId="5" fillId="10" borderId="6" xfId="0" applyNumberFormat="1" applyFont="1" applyFill="1" applyBorder="1" applyAlignment="1">
      <alignment horizontal="right"/>
    </xf>
    <xf numFmtId="188" fontId="5" fillId="10" borderId="3" xfId="0" applyNumberFormat="1" applyFont="1" applyFill="1" applyBorder="1" applyAlignment="1">
      <alignment horizontal="right"/>
    </xf>
    <xf numFmtId="188" fontId="5" fillId="10" borderId="53" xfId="0" applyNumberFormat="1" applyFont="1" applyFill="1" applyBorder="1" applyAlignment="1">
      <alignment horizontal="right"/>
    </xf>
    <xf numFmtId="172" fontId="5" fillId="10" borderId="17" xfId="0" applyNumberFormat="1" applyFont="1" applyFill="1" applyBorder="1" applyAlignment="1">
      <alignment horizontal="right"/>
    </xf>
    <xf numFmtId="172" fontId="5" fillId="3" borderId="2" xfId="0" applyNumberFormat="1" applyFont="1" applyFill="1" applyBorder="1" applyAlignment="1">
      <alignment horizontal="right"/>
    </xf>
    <xf numFmtId="172" fontId="5" fillId="10" borderId="2" xfId="0" applyNumberFormat="1" applyFont="1" applyFill="1" applyBorder="1" applyAlignment="1">
      <alignment horizontal="right"/>
    </xf>
    <xf numFmtId="172" fontId="7" fillId="3" borderId="2" xfId="0" applyNumberFormat="1" applyFont="1" applyFill="1" applyBorder="1" applyAlignment="1">
      <alignment horizontal="right"/>
    </xf>
    <xf numFmtId="172" fontId="7" fillId="10" borderId="16" xfId="0" applyNumberFormat="1" applyFont="1" applyFill="1" applyBorder="1" applyAlignment="1">
      <alignment horizontal="right"/>
    </xf>
    <xf numFmtId="172" fontId="7" fillId="10" borderId="2" xfId="0" applyNumberFormat="1" applyFont="1" applyFill="1" applyBorder="1" applyAlignment="1">
      <alignment horizontal="right"/>
    </xf>
    <xf numFmtId="9" fontId="5" fillId="10" borderId="12" xfId="1" applyNumberFormat="1" applyFont="1" applyFill="1" applyBorder="1" applyAlignment="1">
      <alignment horizontal="right"/>
    </xf>
    <xf numFmtId="165" fontId="5" fillId="10" borderId="33" xfId="1" applyNumberFormat="1" applyFont="1" applyFill="1" applyBorder="1" applyAlignment="1">
      <alignment horizontal="right"/>
    </xf>
    <xf numFmtId="9" fontId="5" fillId="3" borderId="14" xfId="1" applyNumberFormat="1" applyFont="1" applyFill="1" applyBorder="1" applyAlignment="1">
      <alignment horizontal="right"/>
    </xf>
    <xf numFmtId="165" fontId="5" fillId="3" borderId="34" xfId="1" applyNumberFormat="1" applyFont="1" applyFill="1" applyBorder="1" applyAlignment="1">
      <alignment horizontal="right"/>
    </xf>
    <xf numFmtId="9" fontId="5" fillId="10" borderId="14" xfId="1" applyNumberFormat="1" applyFont="1" applyFill="1" applyBorder="1" applyAlignment="1">
      <alignment horizontal="right"/>
    </xf>
    <xf numFmtId="165" fontId="5" fillId="10" borderId="34" xfId="1" applyNumberFormat="1" applyFont="1" applyFill="1" applyBorder="1" applyAlignment="1">
      <alignment horizontal="right"/>
    </xf>
    <xf numFmtId="9" fontId="7" fillId="3" borderId="14" xfId="1" applyNumberFormat="1" applyFont="1" applyFill="1" applyBorder="1" applyAlignment="1">
      <alignment horizontal="right"/>
    </xf>
    <xf numFmtId="165" fontId="7" fillId="3" borderId="34" xfId="1" applyNumberFormat="1" applyFont="1" applyFill="1" applyBorder="1" applyAlignment="1">
      <alignment horizontal="right"/>
    </xf>
    <xf numFmtId="9" fontId="7" fillId="10" borderId="14" xfId="1" applyNumberFormat="1" applyFont="1" applyFill="1" applyBorder="1" applyAlignment="1">
      <alignment horizontal="right"/>
    </xf>
    <xf numFmtId="165" fontId="7" fillId="10" borderId="34" xfId="1" applyNumberFormat="1" applyFont="1" applyFill="1" applyBorder="1" applyAlignment="1">
      <alignment horizontal="right"/>
    </xf>
    <xf numFmtId="9" fontId="7" fillId="10" borderId="15" xfId="1" applyNumberFormat="1" applyFont="1" applyFill="1" applyBorder="1" applyAlignment="1">
      <alignment horizontal="right"/>
    </xf>
    <xf numFmtId="165" fontId="7" fillId="10" borderId="32" xfId="1" applyNumberFormat="1" applyFont="1" applyFill="1" applyBorder="1" applyAlignment="1">
      <alignment horizontal="right"/>
    </xf>
    <xf numFmtId="0" fontId="7" fillId="3" borderId="50" xfId="0" applyFont="1" applyFill="1" applyBorder="1" applyAlignment="1"/>
    <xf numFmtId="0" fontId="7" fillId="10" borderId="5" xfId="0" applyFont="1" applyFill="1" applyBorder="1" applyAlignment="1"/>
    <xf numFmtId="0" fontId="5" fillId="16" borderId="5" xfId="0" applyFont="1" applyFill="1" applyBorder="1" applyAlignment="1"/>
    <xf numFmtId="0" fontId="5" fillId="8" borderId="38" xfId="0" applyFont="1" applyFill="1" applyBorder="1" applyAlignment="1"/>
    <xf numFmtId="187" fontId="5" fillId="10" borderId="50" xfId="0" applyNumberFormat="1" applyFont="1" applyFill="1" applyBorder="1" applyAlignment="1"/>
    <xf numFmtId="172" fontId="7" fillId="10" borderId="5" xfId="0" applyNumberFormat="1" applyFont="1" applyFill="1" applyBorder="1" applyAlignment="1">
      <alignment horizontal="right"/>
    </xf>
    <xf numFmtId="187" fontId="5" fillId="10" borderId="5" xfId="0" applyNumberFormat="1" applyFont="1" applyFill="1" applyBorder="1" applyAlignment="1"/>
    <xf numFmtId="172" fontId="7" fillId="10" borderId="7" xfId="0" applyNumberFormat="1" applyFont="1" applyFill="1" applyBorder="1" applyAlignment="1">
      <alignment horizontal="right"/>
    </xf>
    <xf numFmtId="9" fontId="7" fillId="10" borderId="50" xfId="1" applyNumberFormat="1" applyFont="1" applyFill="1" applyBorder="1" applyAlignment="1">
      <alignment horizontal="right"/>
    </xf>
    <xf numFmtId="165" fontId="7" fillId="10" borderId="38" xfId="1" applyNumberFormat="1" applyFont="1" applyFill="1" applyBorder="1" applyAlignment="1">
      <alignment horizontal="right"/>
    </xf>
    <xf numFmtId="173" fontId="7" fillId="10" borderId="38" xfId="0" applyNumberFormat="1" applyFont="1" applyFill="1" applyBorder="1" applyAlignment="1">
      <alignment horizontal="right"/>
    </xf>
    <xf numFmtId="0" fontId="7" fillId="3" borderId="54" xfId="0" applyFont="1" applyFill="1" applyBorder="1" applyAlignment="1"/>
    <xf numFmtId="0" fontId="7" fillId="3" borderId="55" xfId="0" applyFont="1" applyFill="1" applyBorder="1" applyAlignment="1"/>
    <xf numFmtId="0" fontId="5" fillId="8" borderId="55" xfId="0" applyFont="1" applyFill="1" applyBorder="1" applyAlignment="1"/>
    <xf numFmtId="0" fontId="5" fillId="9" borderId="56" xfId="0" applyFont="1" applyFill="1" applyBorder="1" applyAlignment="1"/>
    <xf numFmtId="187" fontId="5" fillId="10" borderId="54" xfId="0" applyNumberFormat="1" applyFont="1" applyFill="1" applyBorder="1" applyAlignment="1"/>
    <xf numFmtId="172" fontId="7" fillId="3" borderId="55" xfId="0" applyNumberFormat="1" applyFont="1" applyFill="1" applyBorder="1" applyAlignment="1">
      <alignment horizontal="right"/>
    </xf>
    <xf numFmtId="187" fontId="5" fillId="10" borderId="55" xfId="0" applyNumberFormat="1" applyFont="1" applyFill="1" applyBorder="1" applyAlignment="1"/>
    <xf numFmtId="172" fontId="7" fillId="3" borderId="57" xfId="0" applyNumberFormat="1" applyFont="1" applyFill="1" applyBorder="1" applyAlignment="1">
      <alignment horizontal="right"/>
    </xf>
    <xf numFmtId="9" fontId="7" fillId="3" borderId="54" xfId="1" applyNumberFormat="1" applyFont="1" applyFill="1" applyBorder="1" applyAlignment="1">
      <alignment horizontal="right"/>
    </xf>
    <xf numFmtId="165" fontId="7" fillId="3" borderId="56" xfId="1" applyNumberFormat="1" applyFont="1" applyFill="1" applyBorder="1" applyAlignment="1">
      <alignment horizontal="right"/>
    </xf>
    <xf numFmtId="188" fontId="5" fillId="10" borderId="58" xfId="0" applyNumberFormat="1" applyFont="1" applyFill="1" applyBorder="1" applyAlignment="1">
      <alignment horizontal="right"/>
    </xf>
    <xf numFmtId="173" fontId="7" fillId="3" borderId="56" xfId="0" applyNumberFormat="1" applyFont="1" applyFill="1" applyBorder="1" applyAlignment="1">
      <alignment horizontal="right"/>
    </xf>
    <xf numFmtId="165" fontId="5" fillId="0" borderId="0" xfId="0" applyNumberFormat="1" applyFont="1" applyAlignment="1"/>
    <xf numFmtId="9" fontId="14" fillId="3" borderId="1" xfId="1" applyFont="1" applyFill="1" applyBorder="1" applyAlignment="1">
      <alignment horizontal="center" vertical="center"/>
    </xf>
    <xf numFmtId="0" fontId="2" fillId="3" borderId="14" xfId="0" applyFont="1" applyFill="1" applyBorder="1" applyAlignment="1"/>
    <xf numFmtId="196" fontId="0" fillId="3" borderId="1" xfId="0" applyNumberFormat="1" applyFont="1" applyFill="1" applyBorder="1" applyAlignment="1"/>
    <xf numFmtId="194" fontId="0" fillId="3" borderId="1" xfId="0" applyNumberFormat="1" applyFont="1" applyFill="1" applyBorder="1" applyAlignment="1"/>
    <xf numFmtId="0" fontId="9" fillId="5" borderId="8" xfId="0" applyFont="1" applyFill="1" applyBorder="1" applyAlignment="1">
      <alignment horizontal="center" vertical="center"/>
    </xf>
    <xf numFmtId="172" fontId="5" fillId="17" borderId="52" xfId="0" applyNumberFormat="1" applyFont="1" applyFill="1" applyBorder="1" applyAlignment="1">
      <alignment horizontal="right"/>
    </xf>
    <xf numFmtId="172" fontId="5" fillId="14" borderId="3" xfId="0" applyNumberFormat="1" applyFont="1" applyFill="1" applyBorder="1" applyAlignment="1">
      <alignment horizontal="right"/>
    </xf>
    <xf numFmtId="172" fontId="5" fillId="17" borderId="3" xfId="0" applyNumberFormat="1" applyFont="1" applyFill="1" applyBorder="1" applyAlignment="1">
      <alignment horizontal="right"/>
    </xf>
    <xf numFmtId="172" fontId="7" fillId="14" borderId="3" xfId="0" applyNumberFormat="1" applyFont="1" applyFill="1" applyBorder="1" applyAlignment="1">
      <alignment horizontal="right"/>
    </xf>
    <xf numFmtId="172" fontId="7" fillId="17" borderId="3" xfId="0" applyNumberFormat="1" applyFont="1" applyFill="1" applyBorder="1" applyAlignment="1">
      <alignment horizontal="right"/>
    </xf>
    <xf numFmtId="172" fontId="7" fillId="6" borderId="53" xfId="0" applyNumberFormat="1" applyFont="1" applyFill="1" applyBorder="1" applyAlignment="1">
      <alignment horizontal="right"/>
    </xf>
    <xf numFmtId="172" fontId="7" fillId="16" borderId="52" xfId="0" applyNumberFormat="1" applyFont="1" applyFill="1" applyBorder="1" applyAlignment="1">
      <alignment horizontal="right"/>
    </xf>
    <xf numFmtId="172" fontId="7" fillId="7" borderId="3" xfId="0" applyNumberFormat="1" applyFont="1" applyFill="1" applyBorder="1" applyAlignment="1">
      <alignment horizontal="right"/>
    </xf>
    <xf numFmtId="172" fontId="7" fillId="7" borderId="53" xfId="0" applyNumberFormat="1" applyFont="1" applyFill="1" applyBorder="1" applyAlignment="1">
      <alignment horizontal="right"/>
    </xf>
    <xf numFmtId="209" fontId="5" fillId="9" borderId="33" xfId="0" applyNumberFormat="1" applyFont="1" applyFill="1" applyBorder="1" applyAlignment="1">
      <alignment horizontal="right"/>
    </xf>
    <xf numFmtId="209" fontId="5" fillId="9" borderId="34" xfId="0" applyNumberFormat="1" applyFont="1" applyFill="1" applyBorder="1" applyAlignment="1">
      <alignment horizontal="right"/>
    </xf>
    <xf numFmtId="209" fontId="7" fillId="2" borderId="32" xfId="0" applyNumberFormat="1" applyFont="1" applyFill="1" applyBorder="1" applyAlignment="1">
      <alignment horizontal="right"/>
    </xf>
    <xf numFmtId="209" fontId="5" fillId="9" borderId="32" xfId="0" applyNumberFormat="1" applyFont="1" applyFill="1" applyBorder="1" applyAlignment="1">
      <alignment horizontal="right"/>
    </xf>
    <xf numFmtId="11" fontId="0" fillId="0" borderId="0" xfId="0" applyNumberFormat="1" applyFont="1" applyAlignment="1">
      <alignment horizontal="left"/>
    </xf>
    <xf numFmtId="186" fontId="0" fillId="3" borderId="1" xfId="1" applyNumberFormat="1" applyFont="1" applyFill="1" applyBorder="1" applyAlignment="1"/>
    <xf numFmtId="0" fontId="2" fillId="14" borderId="1" xfId="0" applyFont="1" applyFill="1" applyBorder="1" applyAlignment="1"/>
    <xf numFmtId="0" fontId="3" fillId="14" borderId="1" xfId="0" applyFont="1" applyFill="1" applyBorder="1" applyAlignment="1"/>
    <xf numFmtId="197" fontId="4" fillId="3" borderId="1" xfId="0" applyNumberFormat="1" applyFont="1" applyFill="1" applyBorder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180" fontId="0" fillId="11" borderId="1" xfId="0" applyNumberFormat="1" applyFont="1" applyFill="1" applyBorder="1" applyAlignment="1">
      <alignment horizontal="left"/>
    </xf>
    <xf numFmtId="0" fontId="0" fillId="15" borderId="0" xfId="0" applyFont="1" applyFill="1" applyBorder="1" applyAlignment="1"/>
    <xf numFmtId="0" fontId="0" fillId="15" borderId="31" xfId="0" applyFont="1" applyFill="1" applyBorder="1" applyAlignment="1"/>
    <xf numFmtId="0" fontId="0" fillId="15" borderId="35" xfId="0" applyFont="1" applyFill="1" applyBorder="1" applyAlignment="1"/>
    <xf numFmtId="0" fontId="1" fillId="3" borderId="1" xfId="0" applyFont="1" applyFill="1" applyBorder="1" applyAlignment="1"/>
    <xf numFmtId="0" fontId="1" fillId="10" borderId="1" xfId="0" applyFont="1" applyFill="1" applyBorder="1" applyAlignment="1"/>
    <xf numFmtId="0" fontId="1" fillId="10" borderId="11" xfId="0" applyFont="1" applyFill="1" applyBorder="1" applyAlignment="1"/>
    <xf numFmtId="10" fontId="7" fillId="3" borderId="52" xfId="1" applyNumberFormat="1" applyFont="1" applyFill="1" applyBorder="1" applyAlignment="1">
      <alignment horizontal="right" vertical="center"/>
    </xf>
    <xf numFmtId="10" fontId="7" fillId="3" borderId="3" xfId="1" applyNumberFormat="1" applyFont="1" applyFill="1" applyBorder="1" applyAlignment="1">
      <alignment horizontal="right" vertical="center"/>
    </xf>
    <xf numFmtId="10" fontId="7" fillId="3" borderId="53" xfId="1" applyNumberFormat="1" applyFont="1" applyFill="1" applyBorder="1" applyAlignment="1">
      <alignment horizontal="right" vertical="center"/>
    </xf>
    <xf numFmtId="0" fontId="7" fillId="3" borderId="5" xfId="0" applyFont="1" applyFill="1" applyBorder="1" applyAlignment="1"/>
    <xf numFmtId="0" fontId="1" fillId="3" borderId="5" xfId="0" applyFont="1" applyFill="1" applyBorder="1" applyAlignment="1"/>
    <xf numFmtId="172" fontId="7" fillId="3" borderId="5" xfId="0" applyNumberFormat="1" applyFont="1" applyFill="1" applyBorder="1" applyAlignment="1">
      <alignment horizontal="right"/>
    </xf>
    <xf numFmtId="172" fontId="7" fillId="3" borderId="7" xfId="0" applyNumberFormat="1" applyFont="1" applyFill="1" applyBorder="1" applyAlignment="1">
      <alignment horizontal="right"/>
    </xf>
    <xf numFmtId="9" fontId="7" fillId="3" borderId="50" xfId="1" applyNumberFormat="1" applyFont="1" applyFill="1" applyBorder="1" applyAlignment="1">
      <alignment horizontal="right"/>
    </xf>
    <xf numFmtId="165" fontId="7" fillId="3" borderId="38" xfId="1" applyNumberFormat="1" applyFont="1" applyFill="1" applyBorder="1" applyAlignment="1">
      <alignment horizontal="right"/>
    </xf>
    <xf numFmtId="173" fontId="7" fillId="3" borderId="38" xfId="0" applyNumberFormat="1" applyFont="1" applyFill="1" applyBorder="1" applyAlignment="1">
      <alignment horizontal="right"/>
    </xf>
    <xf numFmtId="9" fontId="7" fillId="3" borderId="59" xfId="1" applyFont="1" applyFill="1" applyBorder="1" applyAlignment="1">
      <alignment horizontal="right"/>
    </xf>
    <xf numFmtId="9" fontId="7" fillId="10" borderId="60" xfId="1" applyFont="1" applyFill="1" applyBorder="1" applyAlignment="1">
      <alignment horizontal="right"/>
    </xf>
    <xf numFmtId="9" fontId="7" fillId="3" borderId="60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9" fontId="7" fillId="10" borderId="62" xfId="1" applyFont="1" applyFill="1" applyBorder="1" applyAlignment="1">
      <alignment horizontal="right"/>
    </xf>
    <xf numFmtId="9" fontId="0" fillId="0" borderId="63" xfId="1" applyFont="1" applyBorder="1" applyAlignment="1"/>
    <xf numFmtId="0" fontId="0" fillId="0" borderId="63" xfId="0" applyFont="1" applyBorder="1" applyAlignment="1"/>
    <xf numFmtId="167" fontId="12" fillId="7" borderId="19" xfId="0" applyNumberFormat="1" applyFont="1" applyFill="1" applyBorder="1" applyAlignment="1">
      <alignment horizontal="center" vertical="center"/>
    </xf>
    <xf numFmtId="167" fontId="12" fillId="7" borderId="21" xfId="0" applyNumberFormat="1" applyFont="1" applyFill="1" applyBorder="1" applyAlignment="1">
      <alignment horizontal="center" vertical="center"/>
    </xf>
    <xf numFmtId="167" fontId="12" fillId="7" borderId="22" xfId="0" applyNumberFormat="1" applyFont="1" applyFill="1" applyBorder="1" applyAlignment="1">
      <alignment horizontal="center" vertical="center"/>
    </xf>
    <xf numFmtId="167" fontId="12" fillId="7" borderId="23" xfId="0" applyNumberFormat="1" applyFont="1" applyFill="1" applyBorder="1" applyAlignment="1">
      <alignment horizontal="center" vertical="center"/>
    </xf>
    <xf numFmtId="198" fontId="11" fillId="7" borderId="19" xfId="0" applyNumberFormat="1" applyFont="1" applyFill="1" applyBorder="1" applyAlignment="1">
      <alignment horizontal="center" vertical="center"/>
    </xf>
    <xf numFmtId="198" fontId="11" fillId="7" borderId="21" xfId="0" applyNumberFormat="1" applyFont="1" applyFill="1" applyBorder="1" applyAlignment="1">
      <alignment horizontal="center" vertical="center"/>
    </xf>
    <xf numFmtId="198" fontId="11" fillId="7" borderId="22" xfId="0" applyNumberFormat="1" applyFont="1" applyFill="1" applyBorder="1" applyAlignment="1">
      <alignment horizontal="center" vertical="center"/>
    </xf>
    <xf numFmtId="198" fontId="11" fillId="7" borderId="23" xfId="0" applyNumberFormat="1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0" fontId="9" fillId="5" borderId="39" xfId="0" applyFont="1" applyFill="1" applyBorder="1" applyAlignment="1">
      <alignment horizontal="center" vertical="center"/>
    </xf>
    <xf numFmtId="175" fontId="9" fillId="2" borderId="28" xfId="0" applyNumberFormat="1" applyFont="1" applyFill="1" applyBorder="1" applyAlignment="1">
      <alignment horizontal="center"/>
    </xf>
    <xf numFmtId="175" fontId="9" fillId="2" borderId="46" xfId="0" applyNumberFormat="1" applyFont="1" applyFill="1" applyBorder="1" applyAlignment="1">
      <alignment horizontal="center"/>
    </xf>
    <xf numFmtId="175" fontId="9" fillId="2" borderId="41" xfId="0" applyNumberFormat="1" applyFont="1" applyFill="1" applyBorder="1" applyAlignment="1">
      <alignment horizontal="center"/>
    </xf>
    <xf numFmtId="199" fontId="13" fillId="3" borderId="1" xfId="0" applyNumberFormat="1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33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9" fillId="5" borderId="25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left"/>
    </xf>
    <xf numFmtId="0" fontId="4" fillId="3" borderId="24" xfId="0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0" fontId="9" fillId="5" borderId="25" xfId="0" applyFont="1" applyFill="1" applyBorder="1" applyAlignment="1">
      <alignment horizontal="left" vertical="center"/>
    </xf>
    <xf numFmtId="0" fontId="9" fillId="5" borderId="24" xfId="0" applyFont="1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/>
    </xf>
    <xf numFmtId="0" fontId="4" fillId="14" borderId="25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175" fontId="8" fillId="2" borderId="19" xfId="0" applyNumberFormat="1" applyFont="1" applyFill="1" applyBorder="1" applyAlignment="1">
      <alignment horizontal="center" vertical="center"/>
    </xf>
    <xf numFmtId="175" fontId="8" fillId="2" borderId="21" xfId="0" applyNumberFormat="1" applyFont="1" applyFill="1" applyBorder="1" applyAlignment="1">
      <alignment horizontal="center" vertical="center"/>
    </xf>
    <xf numFmtId="175" fontId="8" fillId="2" borderId="22" xfId="0" applyNumberFormat="1" applyFont="1" applyFill="1" applyBorder="1" applyAlignment="1">
      <alignment horizontal="center" vertical="center"/>
    </xf>
    <xf numFmtId="175" fontId="8" fillId="2" borderId="23" xfId="0" applyNumberFormat="1" applyFont="1" applyFill="1" applyBorder="1" applyAlignment="1">
      <alignment horizontal="center" vertical="center"/>
    </xf>
    <xf numFmtId="176" fontId="12" fillId="4" borderId="19" xfId="0" applyNumberFormat="1" applyFont="1" applyFill="1" applyBorder="1" applyAlignment="1">
      <alignment horizontal="center" vertical="center"/>
    </xf>
    <xf numFmtId="176" fontId="12" fillId="4" borderId="21" xfId="0" applyNumberFormat="1" applyFont="1" applyFill="1" applyBorder="1" applyAlignment="1">
      <alignment horizontal="center" vertical="center"/>
    </xf>
    <xf numFmtId="176" fontId="12" fillId="4" borderId="22" xfId="0" applyNumberFormat="1" applyFont="1" applyFill="1" applyBorder="1" applyAlignment="1">
      <alignment horizontal="center" vertical="center"/>
    </xf>
    <xf numFmtId="176" fontId="12" fillId="4" borderId="23" xfId="0" applyNumberFormat="1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204" fontId="9" fillId="2" borderId="28" xfId="0" applyNumberFormat="1" applyFont="1" applyFill="1" applyBorder="1" applyAlignment="1">
      <alignment horizontal="center"/>
    </xf>
    <xf numFmtId="204" fontId="9" fillId="2" borderId="46" xfId="0" applyNumberFormat="1" applyFont="1" applyFill="1" applyBorder="1" applyAlignment="1">
      <alignment horizontal="center"/>
    </xf>
    <xf numFmtId="204" fontId="9" fillId="2" borderId="41" xfId="0" applyNumberFormat="1" applyFont="1" applyFill="1" applyBorder="1" applyAlignment="1">
      <alignment horizont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1" fillId="5" borderId="47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49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175" fontId="5" fillId="10" borderId="12" xfId="1" applyNumberFormat="1" applyFont="1" applyFill="1" applyBorder="1" applyAlignment="1">
      <alignment horizontal="right" vertical="center" textRotation="90"/>
    </xf>
    <xf numFmtId="175" fontId="5" fillId="10" borderId="14" xfId="1" applyNumberFormat="1" applyFont="1" applyFill="1" applyBorder="1" applyAlignment="1">
      <alignment horizontal="right" vertical="center" textRotation="90"/>
    </xf>
    <xf numFmtId="175" fontId="5" fillId="10" borderId="15" xfId="1" applyNumberFormat="1" applyFont="1" applyFill="1" applyBorder="1" applyAlignment="1">
      <alignment horizontal="right" vertical="center" textRotation="90"/>
    </xf>
    <xf numFmtId="0" fontId="9" fillId="5" borderId="58" xfId="0" applyFont="1" applyFill="1" applyBorder="1" applyAlignment="1">
      <alignment horizontal="center" vertical="center"/>
    </xf>
    <xf numFmtId="175" fontId="8" fillId="2" borderId="37" xfId="3" applyNumberFormat="1" applyFont="1" applyFill="1" applyBorder="1" applyAlignment="1">
      <alignment horizontal="center" vertical="center" textRotation="90"/>
    </xf>
    <xf numFmtId="175" fontId="8" fillId="2" borderId="21" xfId="3" applyNumberFormat="1" applyFont="1" applyFill="1" applyBorder="1" applyAlignment="1">
      <alignment horizontal="center" vertical="center" textRotation="90"/>
    </xf>
    <xf numFmtId="175" fontId="8" fillId="2" borderId="35" xfId="3" applyNumberFormat="1" applyFont="1" applyFill="1" applyBorder="1" applyAlignment="1">
      <alignment horizontal="center" vertical="center" textRotation="90"/>
    </xf>
    <xf numFmtId="175" fontId="8" fillId="2" borderId="42" xfId="3" applyNumberFormat="1" applyFont="1" applyFill="1" applyBorder="1" applyAlignment="1">
      <alignment horizontal="center" vertical="center" textRotation="90"/>
    </xf>
    <xf numFmtId="175" fontId="8" fillId="2" borderId="36" xfId="3" applyNumberFormat="1" applyFont="1" applyFill="1" applyBorder="1" applyAlignment="1">
      <alignment horizontal="center" vertical="center" textRotation="90"/>
    </xf>
    <xf numFmtId="175" fontId="8" fillId="2" borderId="23" xfId="3" applyNumberFormat="1" applyFont="1" applyFill="1" applyBorder="1" applyAlignment="1">
      <alignment horizontal="center" vertical="center" textRotation="90"/>
    </xf>
    <xf numFmtId="175" fontId="7" fillId="3" borderId="6" xfId="1" applyNumberFormat="1" applyFont="1" applyFill="1" applyBorder="1" applyAlignment="1">
      <alignment horizontal="center" vertical="center" textRotation="90"/>
    </xf>
    <xf numFmtId="175" fontId="7" fillId="3" borderId="3" xfId="1" applyNumberFormat="1" applyFont="1" applyFill="1" applyBorder="1" applyAlignment="1">
      <alignment horizontal="center" vertical="center" textRotation="90"/>
    </xf>
    <xf numFmtId="175" fontId="7" fillId="3" borderId="53" xfId="1" applyNumberFormat="1" applyFont="1" applyFill="1" applyBorder="1" applyAlignment="1">
      <alignment horizontal="center" vertical="center" textRotation="90"/>
    </xf>
    <xf numFmtId="184" fontId="8" fillId="6" borderId="37" xfId="3" applyNumberFormat="1" applyFont="1" applyFill="1" applyBorder="1" applyAlignment="1">
      <alignment horizontal="center" vertical="center" textRotation="90"/>
    </xf>
    <xf numFmtId="184" fontId="8" fillId="6" borderId="35" xfId="3" applyNumberFormat="1" applyFont="1" applyFill="1" applyBorder="1" applyAlignment="1">
      <alignment horizontal="center" vertical="center" textRotation="90"/>
    </xf>
    <xf numFmtId="184" fontId="8" fillId="6" borderId="36" xfId="3" applyNumberFormat="1" applyFont="1" applyFill="1" applyBorder="1" applyAlignment="1">
      <alignment horizontal="center" vertical="center" textRotation="90"/>
    </xf>
    <xf numFmtId="175" fontId="8" fillId="2" borderId="44" xfId="0" applyNumberFormat="1" applyFont="1" applyFill="1" applyBorder="1" applyAlignment="1">
      <alignment horizontal="center" vertical="center" textRotation="90"/>
    </xf>
    <xf numFmtId="175" fontId="8" fillId="2" borderId="51" xfId="0" applyNumberFormat="1" applyFont="1" applyFill="1" applyBorder="1" applyAlignment="1">
      <alignment horizontal="center" vertical="center" textRotation="90"/>
    </xf>
    <xf numFmtId="175" fontId="8" fillId="2" borderId="48" xfId="0" applyNumberFormat="1" applyFont="1" applyFill="1" applyBorder="1" applyAlignment="1">
      <alignment horizontal="center" vertical="center" textRotation="90"/>
    </xf>
    <xf numFmtId="0" fontId="14" fillId="3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33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75" fontId="8" fillId="11" borderId="10" xfId="0" applyNumberFormat="1" applyFont="1" applyFill="1" applyBorder="1" applyAlignment="1">
      <alignment horizontal="center" vertical="center"/>
    </xf>
    <xf numFmtId="175" fontId="8" fillId="11" borderId="8" xfId="0" applyNumberFormat="1" applyFont="1" applyFill="1" applyBorder="1" applyAlignment="1">
      <alignment horizontal="center" vertical="center"/>
    </xf>
    <xf numFmtId="175" fontId="8" fillId="11" borderId="7" xfId="0" applyNumberFormat="1" applyFont="1" applyFill="1" applyBorder="1" applyAlignment="1">
      <alignment horizontal="center" vertical="center"/>
    </xf>
    <xf numFmtId="175" fontId="8" fillId="11" borderId="6" xfId="0" applyNumberFormat="1" applyFont="1" applyFill="1" applyBorder="1" applyAlignment="1">
      <alignment horizontal="center" vertical="center"/>
    </xf>
    <xf numFmtId="190" fontId="4" fillId="3" borderId="1" xfId="0" applyNumberFormat="1" applyFont="1" applyFill="1" applyBorder="1" applyAlignment="1">
      <alignment horizontal="center" vertical="center"/>
    </xf>
    <xf numFmtId="191" fontId="4" fillId="3" borderId="1" xfId="0" applyNumberFormat="1" applyFont="1" applyFill="1" applyBorder="1" applyAlignment="1">
      <alignment horizontal="center" vertical="center"/>
    </xf>
    <xf numFmtId="184" fontId="8" fillId="13" borderId="1" xfId="0" applyNumberFormat="1" applyFont="1" applyFill="1" applyBorder="1" applyAlignment="1">
      <alignment horizontal="center" vertical="center"/>
    </xf>
    <xf numFmtId="167" fontId="8" fillId="12" borderId="1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8" fontId="8" fillId="11" borderId="1" xfId="0" applyNumberFormat="1" applyFont="1" applyFill="1" applyBorder="1" applyAlignment="1">
      <alignment horizontal="center" vertical="center"/>
    </xf>
    <xf numFmtId="0" fontId="10" fillId="5" borderId="1" xfId="2" applyFont="1" applyFill="1" applyBorder="1" applyAlignment="1">
      <alignment horizontal="center"/>
    </xf>
    <xf numFmtId="0" fontId="0" fillId="4" borderId="1" xfId="0" applyFont="1" applyFill="1" applyBorder="1" applyAlignment="1">
      <alignment horizontal="left"/>
    </xf>
    <xf numFmtId="10" fontId="4" fillId="0" borderId="1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78" fontId="8" fillId="3" borderId="1" xfId="0" applyNumberFormat="1" applyFont="1" applyFill="1" applyBorder="1" applyAlignment="1">
      <alignment horizontal="center" vertical="center"/>
    </xf>
    <xf numFmtId="184" fontId="8" fillId="3" borderId="1" xfId="0" applyNumberFormat="1" applyFont="1" applyFill="1" applyBorder="1" applyAlignment="1">
      <alignment horizontal="center" vertical="center"/>
    </xf>
    <xf numFmtId="0" fontId="6" fillId="5" borderId="2" xfId="2" applyFill="1" applyBorder="1" applyAlignment="1">
      <alignment horizontal="left"/>
    </xf>
    <xf numFmtId="0" fontId="6" fillId="5" borderId="4" xfId="2" applyFill="1" applyBorder="1" applyAlignment="1">
      <alignment horizontal="left"/>
    </xf>
    <xf numFmtId="0" fontId="6" fillId="5" borderId="3" xfId="2" applyFill="1" applyBorder="1" applyAlignment="1">
      <alignment horizontal="left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6" fillId="5" borderId="1" xfId="2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14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  <xf numFmtId="0" fontId="3" fillId="3" borderId="2" xfId="0" applyFont="1" applyFill="1" applyBorder="1" applyAlignment="1"/>
    <xf numFmtId="0" fontId="3" fillId="3" borderId="10" xfId="0" applyFont="1" applyFill="1" applyBorder="1" applyAlignment="1"/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mruColors>
      <color rgb="FFF2F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6"/>
          <a:ext cx="1362075" cy="17144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141975</xdr:colOff>
      <xdr:row>10</xdr:row>
      <xdr:rowOff>0</xdr:rowOff>
    </xdr:to>
    <xdr:sp macro="" textlink="">
      <xdr:nvSpPr>
        <xdr:cNvPr id="12" name="Achteck 11"/>
        <xdr:cNvSpPr>
          <a:spLocks/>
        </xdr:cNvSpPr>
      </xdr:nvSpPr>
      <xdr:spPr>
        <a:xfrm>
          <a:off x="762000" y="8572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27</xdr:col>
      <xdr:colOff>259125</xdr:colOff>
      <xdr:row>21</xdr:row>
      <xdr:rowOff>0</xdr:rowOff>
    </xdr:from>
    <xdr:to>
      <xdr:col>28</xdr:col>
      <xdr:colOff>296325</xdr:colOff>
      <xdr:row>22</xdr:row>
      <xdr:rowOff>170550</xdr:rowOff>
    </xdr:to>
    <xdr:sp macro="" textlink="">
      <xdr:nvSpPr>
        <xdr:cNvPr id="14" name="Achteck 13"/>
        <xdr:cNvSpPr>
          <a:spLocks/>
        </xdr:cNvSpPr>
      </xdr:nvSpPr>
      <xdr:spPr>
        <a:xfrm>
          <a:off x="16918350" y="36004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141975</xdr:colOff>
      <xdr:row>12</xdr:row>
      <xdr:rowOff>0</xdr:rowOff>
    </xdr:to>
    <xdr:sp macro="" textlink="">
      <xdr:nvSpPr>
        <xdr:cNvPr id="15" name="Achteck 14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27</xdr:col>
      <xdr:colOff>278175</xdr:colOff>
      <xdr:row>29</xdr:row>
      <xdr:rowOff>0</xdr:rowOff>
    </xdr:from>
    <xdr:to>
      <xdr:col>28</xdr:col>
      <xdr:colOff>315375</xdr:colOff>
      <xdr:row>30</xdr:row>
      <xdr:rowOff>170550</xdr:rowOff>
    </xdr:to>
    <xdr:sp macro="" textlink="">
      <xdr:nvSpPr>
        <xdr:cNvPr id="16" name="Achteck 15"/>
        <xdr:cNvSpPr>
          <a:spLocks/>
        </xdr:cNvSpPr>
      </xdr:nvSpPr>
      <xdr:spPr>
        <a:xfrm>
          <a:off x="16937400" y="49720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141975</xdr:colOff>
      <xdr:row>14</xdr:row>
      <xdr:rowOff>0</xdr:rowOff>
    </xdr:to>
    <xdr:sp macro="" textlink="">
      <xdr:nvSpPr>
        <xdr:cNvPr id="17" name="Achteck 16"/>
        <xdr:cNvSpPr>
          <a:spLocks/>
        </xdr:cNvSpPr>
      </xdr:nvSpPr>
      <xdr:spPr>
        <a:xfrm>
          <a:off x="762000" y="15430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141975</xdr:colOff>
      <xdr:row>8</xdr:row>
      <xdr:rowOff>0</xdr:rowOff>
    </xdr:to>
    <xdr:sp macro="" textlink="">
      <xdr:nvSpPr>
        <xdr:cNvPr id="18" name="Achteck 17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1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7</xdr:col>
      <xdr:colOff>0</xdr:colOff>
      <xdr:row>7</xdr:row>
      <xdr:rowOff>85725</xdr:rowOff>
    </xdr:to>
    <xdr:cxnSp macro="">
      <xdr:nvCxnSpPr>
        <xdr:cNvPr id="20" name="Gerade Verbindung mit Pfeil 19"/>
        <xdr:cNvCxnSpPr/>
      </xdr:nvCxnSpPr>
      <xdr:spPr>
        <a:xfrm flipV="1">
          <a:off x="2638425" y="1028700"/>
          <a:ext cx="1181100" cy="2571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85725</xdr:rowOff>
    </xdr:from>
    <xdr:to>
      <xdr:col>7</xdr:col>
      <xdr:colOff>0</xdr:colOff>
      <xdr:row>9</xdr:row>
      <xdr:rowOff>85725</xdr:rowOff>
    </xdr:to>
    <xdr:cxnSp macro="">
      <xdr:nvCxnSpPr>
        <xdr:cNvPr id="21" name="Gerade Verbindung mit Pfeil 20"/>
        <xdr:cNvCxnSpPr/>
      </xdr:nvCxnSpPr>
      <xdr:spPr>
        <a:xfrm flipV="1">
          <a:off x="2638425" y="1114425"/>
          <a:ext cx="1181100" cy="5143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0</xdr:rowOff>
    </xdr:from>
    <xdr:to>
      <xdr:col>7</xdr:col>
      <xdr:colOff>0</xdr:colOff>
      <xdr:row>11</xdr:row>
      <xdr:rowOff>85728</xdr:rowOff>
    </xdr:to>
    <xdr:cxnSp macro="">
      <xdr:nvCxnSpPr>
        <xdr:cNvPr id="26" name="Gerade Verbindung mit Pfeil 25"/>
        <xdr:cNvCxnSpPr/>
      </xdr:nvCxnSpPr>
      <xdr:spPr>
        <a:xfrm flipV="1">
          <a:off x="2638425" y="1200150"/>
          <a:ext cx="1181100" cy="77152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85725</xdr:rowOff>
    </xdr:from>
    <xdr:to>
      <xdr:col>7</xdr:col>
      <xdr:colOff>0</xdr:colOff>
      <xdr:row>13</xdr:row>
      <xdr:rowOff>85729</xdr:rowOff>
    </xdr:to>
    <xdr:cxnSp macro="">
      <xdr:nvCxnSpPr>
        <xdr:cNvPr id="32" name="Gerade Verbindung mit Pfeil 31"/>
        <xdr:cNvCxnSpPr/>
      </xdr:nvCxnSpPr>
      <xdr:spPr>
        <a:xfrm flipV="1">
          <a:off x="2638425" y="1285875"/>
          <a:ext cx="1181100" cy="1028704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0</xdr:rowOff>
    </xdr:from>
    <xdr:to>
      <xdr:col>7</xdr:col>
      <xdr:colOff>0</xdr:colOff>
      <xdr:row>1</xdr:row>
      <xdr:rowOff>171449</xdr:rowOff>
    </xdr:to>
    <xdr:sp macro="[0]!'getCurrentValues 1000'" textlink="">
      <xdr:nvSpPr>
        <xdr:cNvPr id="13" name="Rechteck 12"/>
        <xdr:cNvSpPr/>
      </xdr:nvSpPr>
      <xdr:spPr>
        <a:xfrm>
          <a:off x="2124075" y="171450"/>
          <a:ext cx="1695450" cy="17144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DELETE</a:t>
          </a:r>
          <a:r>
            <a:rPr lang="en-US" sz="1000" baseline="0"/>
            <a:t> ALL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</xdr:col>
      <xdr:colOff>1047749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6"/>
          <a:ext cx="1047749" cy="16192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0</xdr:row>
      <xdr:rowOff>161924</xdr:rowOff>
    </xdr:from>
    <xdr:to>
      <xdr:col>3</xdr:col>
      <xdr:colOff>0</xdr:colOff>
      <xdr:row>1</xdr:row>
      <xdr:rowOff>161924</xdr:rowOff>
    </xdr:to>
    <xdr:sp macro="[0]!'getCurrentValues 5'" textlink="">
      <xdr:nvSpPr>
        <xdr:cNvPr id="4" name="Rechteck 3"/>
        <xdr:cNvSpPr/>
      </xdr:nvSpPr>
      <xdr:spPr>
        <a:xfrm>
          <a:off x="1809750" y="161924"/>
          <a:ext cx="1228725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myVault</a:t>
          </a:r>
        </a:p>
      </xdr:txBody>
    </xdr:sp>
    <xdr:clientData/>
  </xdr:twoCellAnchor>
  <xdr:twoCellAnchor>
    <xdr:from>
      <xdr:col>4</xdr:col>
      <xdr:colOff>781950</xdr:colOff>
      <xdr:row>22</xdr:row>
      <xdr:rowOff>0</xdr:rowOff>
    </xdr:from>
    <xdr:to>
      <xdr:col>6</xdr:col>
      <xdr:colOff>0</xdr:colOff>
      <xdr:row>24</xdr:row>
      <xdr:rowOff>19050</xdr:rowOff>
    </xdr:to>
    <xdr:sp macro="" textlink="">
      <xdr:nvSpPr>
        <xdr:cNvPr id="6" name="Achteck 5"/>
        <xdr:cNvSpPr>
          <a:spLocks/>
        </xdr:cNvSpPr>
      </xdr:nvSpPr>
      <xdr:spPr>
        <a:xfrm>
          <a:off x="4763400" y="3781425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2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1999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'getCurrentValues 6'" textlink="">
      <xdr:nvSpPr>
        <xdr:cNvPr id="3" name="Rechteck 2"/>
        <xdr:cNvSpPr/>
      </xdr:nvSpPr>
      <xdr:spPr>
        <a:xfrm>
          <a:off x="1885950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AuctionCalc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5</xdr:col>
      <xdr:colOff>695326</xdr:colOff>
      <xdr:row>2</xdr:row>
      <xdr:rowOff>0</xdr:rowOff>
    </xdr:to>
    <xdr:sp macro="[0]!'getCurrentValues 0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PoolPairs</a:t>
          </a:r>
          <a:endParaRPr 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57151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57151</xdr:colOff>
      <xdr:row>1</xdr:row>
      <xdr:rowOff>0</xdr:rowOff>
    </xdr:from>
    <xdr:to>
      <xdr:col>4</xdr:col>
      <xdr:colOff>76201</xdr:colOff>
      <xdr:row>2</xdr:row>
      <xdr:rowOff>0</xdr:rowOff>
    </xdr:to>
    <xdr:sp macro="[0]!'getCurrentValues 1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Prices</a:t>
          </a:r>
          <a:endParaRPr lang="en-US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47626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47626</xdr:colOff>
      <xdr:row>1</xdr:row>
      <xdr:rowOff>0</xdr:rowOff>
    </xdr:from>
    <xdr:to>
      <xdr:col>4</xdr:col>
      <xdr:colOff>571501</xdr:colOff>
      <xdr:row>2</xdr:row>
      <xdr:rowOff>0</xdr:rowOff>
    </xdr:to>
    <xdr:sp macro="[0]!'getCurrentValues 2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Stats</a:t>
          </a:r>
          <a:endParaRPr lang="en-US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6</xdr:col>
      <xdr:colOff>247651</xdr:colOff>
      <xdr:row>2</xdr:row>
      <xdr:rowOff>0</xdr:rowOff>
    </xdr:to>
    <xdr:sp macro="[0]!'getCurrentValues 3'" textlink="">
      <xdr:nvSpPr>
        <xdr:cNvPr id="6" name="Rechteck 5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Address</a:t>
          </a:r>
          <a:endParaRPr lang="en-US" sz="1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847726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847726</xdr:colOff>
      <xdr:row>1</xdr:row>
      <xdr:rowOff>0</xdr:rowOff>
    </xdr:from>
    <xdr:to>
      <xdr:col>2</xdr:col>
      <xdr:colOff>2733676</xdr:colOff>
      <xdr:row>2</xdr:row>
      <xdr:rowOff>0</xdr:rowOff>
    </xdr:to>
    <xdr:sp macro="[0]!'getCurrentValues 4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BTCEur</a:t>
          </a:r>
          <a:endParaRPr lang="en-US" sz="1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5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Vaults</a:t>
          </a:r>
          <a:endParaRPr lang="en-US" sz="1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6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VaultCalc</a:t>
          </a:r>
          <a:endParaRPr 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LoanIdx" displayName="tableLoanIdx" ref="Q2:R23" totalsRowShown="0" headerRowDxfId="0" headerRowBorderDxfId="4" tableBorderDxfId="5" totalsRowBorderDxfId="3">
  <autoFilter ref="Q2:R23">
    <filterColumn colId="0" hiddenButton="1"/>
    <filterColumn colId="1" hiddenButton="1"/>
  </autoFilter>
  <tableColumns count="2">
    <tableColumn id="1" name="loan" dataDxfId="2"/>
    <tableColumn id="2" name="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e2" displayName="Tabelle2" ref="B10:G57" totalsRowShown="0" headerRowDxfId="17" dataDxfId="15" headerRowBorderDxfId="16" tableBorderDxfId="14" totalsRowBorderDxfId="13">
  <autoFilter ref="B10:G57"/>
  <tableColumns count="6">
    <tableColumn id="1" name="idx" dataDxfId="12"/>
    <tableColumn id="2" name="id" dataDxfId="11"/>
    <tableColumn id="3" name="name" dataDxfId="10"/>
    <tableColumn id="4" name="type" dataDxfId="9"/>
    <tableColumn id="5" name="detail" dataDxfId="8"/>
    <tableColumn id="6" name="id2" dataDxfId="7">
      <calculatedColumnFormula>Tabelle2[[#This Row],[id]]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B1:AF53"/>
  <sheetViews>
    <sheetView tabSelected="1" zoomScaleNormal="100" workbookViewId="0"/>
  </sheetViews>
  <sheetFormatPr baseColWidth="10" defaultRowHeight="12.75" x14ac:dyDescent="0.2"/>
  <cols>
    <col min="2" max="3" width="3" bestFit="1" customWidth="1"/>
    <col min="4" max="4" width="14.42578125" bestFit="1" customWidth="1"/>
    <col min="5" max="5" width="7.7109375" bestFit="1" customWidth="1"/>
    <col min="6" max="6" width="6.140625" bestFit="1" customWidth="1"/>
    <col min="7" max="7" width="11.5703125" bestFit="1" customWidth="1"/>
    <col min="8" max="8" width="16.42578125" bestFit="1" customWidth="1"/>
    <col min="9" max="9" width="11.5703125" bestFit="1" customWidth="1"/>
    <col min="10" max="10" width="16.42578125" bestFit="1" customWidth="1"/>
    <col min="11" max="11" width="5.7109375" bestFit="1" customWidth="1"/>
    <col min="12" max="12" width="6.5703125" bestFit="1" customWidth="1"/>
    <col min="13" max="13" width="15.5703125" bestFit="1" customWidth="1"/>
    <col min="14" max="14" width="15" bestFit="1" customWidth="1"/>
    <col min="15" max="15" width="8.42578125" bestFit="1" customWidth="1"/>
    <col min="16" max="16" width="3.28515625" bestFit="1" customWidth="1"/>
    <col min="17" max="17" width="7.28515625" bestFit="1" customWidth="1"/>
    <col min="18" max="18" width="8" bestFit="1" customWidth="1"/>
    <col min="19" max="19" width="15" bestFit="1" customWidth="1"/>
    <col min="20" max="20" width="8.28515625" bestFit="1" customWidth="1"/>
    <col min="21" max="21" width="11.7109375" bestFit="1" customWidth="1"/>
    <col min="22" max="22" width="7.7109375" bestFit="1" customWidth="1"/>
    <col min="23" max="23" width="15.28515625" bestFit="1" customWidth="1"/>
    <col min="24" max="24" width="8.28515625" style="12" bestFit="1" customWidth="1"/>
    <col min="25" max="25" width="8.28515625" bestFit="1" customWidth="1"/>
    <col min="26" max="26" width="8" customWidth="1"/>
    <col min="27" max="28" width="4.5703125" bestFit="1" customWidth="1"/>
    <col min="29" max="29" width="7.85546875" bestFit="1" customWidth="1"/>
    <col min="30" max="30" width="7.85546875" customWidth="1"/>
    <col min="31" max="31" width="23" bestFit="1" customWidth="1"/>
    <col min="32" max="32" width="16" bestFit="1" customWidth="1"/>
    <col min="33" max="33" width="13.28515625" bestFit="1" customWidth="1"/>
    <col min="34" max="34" width="10.140625" bestFit="1" customWidth="1"/>
  </cols>
  <sheetData>
    <row r="1" spans="2:14" ht="13.5" thickBot="1" x14ac:dyDescent="0.25"/>
    <row r="2" spans="2:14" ht="13.5" thickBot="1" x14ac:dyDescent="0.25">
      <c r="B2" s="339"/>
      <c r="C2" s="340"/>
      <c r="D2" s="341"/>
      <c r="M2" s="294" t="s">
        <v>148</v>
      </c>
      <c r="N2" s="295">
        <f>IFERROR(Stats!$C$6,"")</f>
        <v>0</v>
      </c>
    </row>
    <row r="3" spans="2:14" ht="13.5" thickBot="1" x14ac:dyDescent="0.25">
      <c r="B3" s="342" t="s">
        <v>0</v>
      </c>
      <c r="C3" s="343"/>
      <c r="D3" s="343"/>
      <c r="E3" s="347" t="s">
        <v>149</v>
      </c>
      <c r="F3" s="348"/>
      <c r="G3" s="348"/>
      <c r="H3" s="348"/>
      <c r="I3" s="349"/>
      <c r="M3" s="125" t="str">
        <f>IFERROR(M4/$M$5,"")</f>
        <v/>
      </c>
      <c r="N3" s="126" t="str">
        <f>IFERROR(N4/$M$5,"")</f>
        <v/>
      </c>
    </row>
    <row r="4" spans="2:14" ht="13.5" thickBot="1" x14ac:dyDescent="0.25">
      <c r="B4" s="350"/>
      <c r="C4" s="351"/>
      <c r="D4" s="351"/>
      <c r="E4" s="344" t="str">
        <f>IFERROR(VLOOKUP($B$4,Data1!$B$3:$C$9,2,0),"")</f>
        <v/>
      </c>
      <c r="F4" s="345"/>
      <c r="G4" s="345"/>
      <c r="H4" s="345"/>
      <c r="I4" s="346"/>
      <c r="M4" s="190" t="str">
        <f>IFERROR(VLOOKUP("DFI",Prices!$F$6:$Q$1000,5,0),"")</f>
        <v/>
      </c>
      <c r="N4" s="191" t="str">
        <f>IFERROR(VLOOKUP("BTC",Prices!$F$6:$Q$1000,5,0),"")</f>
        <v/>
      </c>
    </row>
    <row r="5" spans="2:14" ht="13.5" customHeight="1" x14ac:dyDescent="0.2">
      <c r="M5" s="335" t="str">
        <f>IFERROR(N4/BTCEur!$D$6,"")</f>
        <v/>
      </c>
      <c r="N5" s="335"/>
    </row>
    <row r="6" spans="2:14" ht="13.5" customHeight="1" thickBot="1" x14ac:dyDescent="0.25"/>
    <row r="7" spans="2:14" ht="13.5" customHeight="1" thickBot="1" x14ac:dyDescent="0.25">
      <c r="C7" s="336" t="s">
        <v>137</v>
      </c>
      <c r="D7" s="337"/>
      <c r="E7" s="338"/>
      <c r="H7" s="352">
        <f>IFERROR(C8+C10+C12+C14,"")</f>
        <v>0</v>
      </c>
      <c r="I7" s="353"/>
      <c r="L7" s="342" t="s">
        <v>138</v>
      </c>
      <c r="M7" s="343"/>
      <c r="N7" s="360"/>
    </row>
    <row r="8" spans="2:14" ht="13.5" customHeight="1" thickBot="1" x14ac:dyDescent="0.25">
      <c r="C8" s="361">
        <f>IFERROR(Address!$D$6,"")</f>
        <v>0</v>
      </c>
      <c r="D8" s="362"/>
      <c r="E8" s="363"/>
      <c r="H8" s="354"/>
      <c r="I8" s="355"/>
      <c r="L8" s="95" t="s">
        <v>126</v>
      </c>
      <c r="M8" s="197">
        <f>IFERROR(ROUNDDOWN(SUM(U21:U47),8),"")</f>
        <v>0</v>
      </c>
      <c r="N8" s="199" t="str">
        <f>IFERROR(M8*$M$3,"")</f>
        <v/>
      </c>
    </row>
    <row r="9" spans="2:14" ht="13.5" customHeight="1" x14ac:dyDescent="0.2">
      <c r="C9" s="336" t="s">
        <v>134</v>
      </c>
      <c r="D9" s="337"/>
      <c r="E9" s="338"/>
      <c r="H9" s="356" t="str">
        <f>IFERROR($H$11/$N$4,"")</f>
        <v/>
      </c>
      <c r="I9" s="357"/>
      <c r="L9" s="96" t="s">
        <v>130</v>
      </c>
      <c r="M9" s="193">
        <f>$M$8*Data1!C13</f>
        <v>0</v>
      </c>
      <c r="N9" s="200" t="str">
        <f t="shared" ref="N9:N13" si="0">IFERROR(M9*$M$3,"")</f>
        <v/>
      </c>
    </row>
    <row r="10" spans="2:14" ht="13.5" customHeight="1" thickBot="1" x14ac:dyDescent="0.25">
      <c r="C10" s="332">
        <f>AA21</f>
        <v>0</v>
      </c>
      <c r="D10" s="333"/>
      <c r="E10" s="334"/>
      <c r="H10" s="358"/>
      <c r="I10" s="359"/>
      <c r="L10" s="96" t="s">
        <v>129</v>
      </c>
      <c r="M10" s="194">
        <f>$M$8*Data1!C14</f>
        <v>0</v>
      </c>
      <c r="N10" s="200" t="str">
        <f t="shared" si="0"/>
        <v/>
      </c>
    </row>
    <row r="11" spans="2:14" ht="13.5" customHeight="1" x14ac:dyDescent="0.2">
      <c r="C11" s="329" t="s">
        <v>135</v>
      </c>
      <c r="D11" s="330"/>
      <c r="E11" s="331"/>
      <c r="H11" s="321" t="str">
        <f>IFERROR($H$7*$M$4,"")</f>
        <v/>
      </c>
      <c r="I11" s="322"/>
      <c r="L11" s="96" t="s">
        <v>110</v>
      </c>
      <c r="M11" s="195">
        <f>$M$8*Data1!C15</f>
        <v>0</v>
      </c>
      <c r="N11" s="200" t="str">
        <f t="shared" si="0"/>
        <v/>
      </c>
    </row>
    <row r="12" spans="2:14" ht="13.5" customHeight="1" thickBot="1" x14ac:dyDescent="0.25">
      <c r="C12" s="332">
        <f>AB29</f>
        <v>0</v>
      </c>
      <c r="D12" s="333"/>
      <c r="E12" s="334"/>
      <c r="H12" s="323"/>
      <c r="I12" s="324"/>
      <c r="L12" s="96" t="s">
        <v>111</v>
      </c>
      <c r="M12" s="196">
        <f>$M$8*Data1!C16</f>
        <v>0</v>
      </c>
      <c r="N12" s="200" t="str">
        <f t="shared" si="0"/>
        <v/>
      </c>
    </row>
    <row r="13" spans="2:14" ht="13.5" customHeight="1" x14ac:dyDescent="0.2">
      <c r="C13" s="329" t="s">
        <v>136</v>
      </c>
      <c r="D13" s="330"/>
      <c r="E13" s="331"/>
      <c r="H13" s="325" t="str">
        <f>IFERROR(H11/$M$5,"")</f>
        <v/>
      </c>
      <c r="I13" s="326"/>
      <c r="L13" s="273" t="s">
        <v>145</v>
      </c>
      <c r="M13" s="196">
        <f>$M$8*Data1!C17</f>
        <v>0</v>
      </c>
      <c r="N13" s="200" t="str">
        <f t="shared" si="0"/>
        <v/>
      </c>
    </row>
    <row r="14" spans="2:14" ht="13.5" customHeight="1" thickBot="1" x14ac:dyDescent="0.25">
      <c r="C14" s="332">
        <f>IFERROR(myVault!$D$23,"")</f>
        <v>0</v>
      </c>
      <c r="D14" s="333"/>
      <c r="E14" s="334"/>
      <c r="H14" s="327"/>
      <c r="I14" s="328"/>
      <c r="L14" s="96" t="s">
        <v>112</v>
      </c>
      <c r="M14" s="196">
        <f>$M$8*Data1!C18*Data1!$C$26</f>
        <v>0</v>
      </c>
      <c r="N14" s="200" t="str">
        <f>IFERROR(M14*$M$3,"")</f>
        <v/>
      </c>
    </row>
    <row r="15" spans="2:14" ht="13.5" customHeight="1" thickBot="1" x14ac:dyDescent="0.25">
      <c r="L15" s="97" t="s">
        <v>113</v>
      </c>
      <c r="M15" s="198">
        <f>$M$8*Data1!C19*Data1!$C$27</f>
        <v>0</v>
      </c>
      <c r="N15" s="201" t="str">
        <f>IFERROR(M15*$M$3,"")</f>
        <v/>
      </c>
    </row>
    <row r="16" spans="2:14" ht="13.5" customHeight="1" x14ac:dyDescent="0.2"/>
    <row r="17" spans="2:30" ht="13.5" customHeight="1" thickBot="1" x14ac:dyDescent="0.25">
      <c r="L17" s="392" t="s">
        <v>144</v>
      </c>
      <c r="M17" s="392"/>
      <c r="N17" s="272" t="str">
        <f>IFERROR(M15/H7,"")</f>
        <v/>
      </c>
    </row>
    <row r="18" spans="2:30" ht="13.5" customHeight="1" thickBot="1" x14ac:dyDescent="0.25">
      <c r="B18" s="364" t="s">
        <v>90</v>
      </c>
      <c r="C18" s="365"/>
      <c r="D18" s="365"/>
      <c r="E18" s="366"/>
      <c r="F18" s="78"/>
      <c r="G18" s="78"/>
      <c r="H18" s="78"/>
      <c r="I18" s="78"/>
      <c r="J18" s="78"/>
      <c r="K18" s="78"/>
      <c r="L18" s="78"/>
      <c r="M18" s="78"/>
      <c r="N18" s="78"/>
      <c r="O18" s="271"/>
      <c r="P18" s="78"/>
      <c r="Q18" s="78"/>
      <c r="R18" s="78"/>
      <c r="S18" s="78"/>
      <c r="T18" s="78"/>
      <c r="U18" s="78"/>
      <c r="V18" s="78"/>
      <c r="W18" s="78"/>
      <c r="X18" s="79"/>
      <c r="Y18" s="80"/>
      <c r="Z18" s="80"/>
      <c r="AA18" s="80"/>
      <c r="AB18" s="78"/>
      <c r="AD18" s="94"/>
    </row>
    <row r="19" spans="2:30" ht="13.5" customHeight="1" thickBot="1" x14ac:dyDescent="0.25">
      <c r="B19" s="367"/>
      <c r="C19" s="368"/>
      <c r="D19" s="368"/>
      <c r="E19" s="369"/>
      <c r="F19" s="78"/>
      <c r="G19" s="336" t="s">
        <v>103</v>
      </c>
      <c r="H19" s="337"/>
      <c r="I19" s="337" t="s">
        <v>102</v>
      </c>
      <c r="J19" s="337"/>
      <c r="K19" s="401" t="s">
        <v>104</v>
      </c>
      <c r="L19" s="402"/>
      <c r="M19" s="336" t="s">
        <v>98</v>
      </c>
      <c r="N19" s="338" t="s">
        <v>86</v>
      </c>
      <c r="O19" s="397" t="s">
        <v>1</v>
      </c>
      <c r="P19" s="393" t="s">
        <v>126</v>
      </c>
      <c r="Q19" s="394"/>
      <c r="R19" s="395"/>
      <c r="S19" s="336" t="s">
        <v>133</v>
      </c>
      <c r="T19" s="337"/>
      <c r="U19" s="337"/>
      <c r="V19" s="337"/>
      <c r="W19" s="337"/>
      <c r="X19" s="337"/>
      <c r="Y19" s="337"/>
      <c r="Z19" s="337"/>
      <c r="AA19" s="396"/>
      <c r="AB19" s="338"/>
    </row>
    <row r="20" spans="2:30" ht="13.5" customHeight="1" thickBot="1" x14ac:dyDescent="0.25">
      <c r="B20" s="342" t="s">
        <v>56</v>
      </c>
      <c r="C20" s="376"/>
      <c r="D20" s="156" t="s">
        <v>0</v>
      </c>
      <c r="E20" s="156" t="s">
        <v>87</v>
      </c>
      <c r="F20" s="157" t="s">
        <v>88</v>
      </c>
      <c r="G20" s="175" t="s">
        <v>101</v>
      </c>
      <c r="H20" s="166" t="s">
        <v>89</v>
      </c>
      <c r="I20" s="166" t="s">
        <v>101</v>
      </c>
      <c r="J20" s="166" t="s">
        <v>89</v>
      </c>
      <c r="K20" s="403"/>
      <c r="L20" s="404"/>
      <c r="M20" s="399"/>
      <c r="N20" s="400"/>
      <c r="O20" s="398"/>
      <c r="P20" s="175" t="s">
        <v>127</v>
      </c>
      <c r="Q20" s="166" t="s">
        <v>128</v>
      </c>
      <c r="R20" s="184" t="s">
        <v>15</v>
      </c>
      <c r="S20" s="175" t="s">
        <v>100</v>
      </c>
      <c r="T20" s="166" t="s">
        <v>19</v>
      </c>
      <c r="U20" s="214" t="s">
        <v>126</v>
      </c>
      <c r="V20" s="215" t="s">
        <v>110</v>
      </c>
      <c r="W20" s="276" t="s">
        <v>87</v>
      </c>
      <c r="X20" s="166" t="s">
        <v>88</v>
      </c>
      <c r="Y20" s="370" t="s">
        <v>109</v>
      </c>
      <c r="Z20" s="370"/>
      <c r="AA20" s="371"/>
      <c r="AB20" s="372"/>
    </row>
    <row r="21" spans="2:30" ht="13.5" customHeight="1" x14ac:dyDescent="0.2">
      <c r="B21" s="167"/>
      <c r="C21" s="43">
        <v>5</v>
      </c>
      <c r="D21" s="43" t="s">
        <v>39</v>
      </c>
      <c r="E21" s="209" t="str">
        <f>IFERROR(VLOOKUP($C21,PoolPairs!$C$6:$AC$1000,5,0),"")</f>
        <v/>
      </c>
      <c r="F21" s="203" t="str">
        <f>IFERROR(VLOOKUP($C21,PoolPairs!$C$6:$AC$1000,11,0),"")</f>
        <v/>
      </c>
      <c r="G21" s="176">
        <f>IFERROR(VLOOKUP($C21,PoolPairs!$C$6:$AC$1000,15,0),0)</f>
        <v>0</v>
      </c>
      <c r="H21" s="128">
        <f>IFERROR(VLOOKUP($C21,PoolPairs!$C$6:$AC$1000,16,0),0)</f>
        <v>0</v>
      </c>
      <c r="I21" s="168" t="str">
        <f>IFERROR(1/J21,"")</f>
        <v/>
      </c>
      <c r="J21" s="230" t="str">
        <f>IFERROR(IF($E21="DUSD",1/VLOOKUP($F21,Prices!$F$6:$Q$1000,5,0),IF($F21="DUSD",VLOOKUP($E21,Prices!$F$6:$Q$1000,5,0),VLOOKUP($E21,Prices!$F$6:$Q$1000,5,0)/VLOOKUP($F21,Prices!$F$6:$Q$1000,5,0))),"")</f>
        <v/>
      </c>
      <c r="K21" s="236" t="str">
        <f>IFERROR(H21/J21,"")</f>
        <v/>
      </c>
      <c r="L21" s="237" t="str">
        <f>IFERROR(ABS(K21-1),"")</f>
        <v/>
      </c>
      <c r="M21" s="227" t="str">
        <f>IFERROR(VLOOKUP($C21,PoolPairs!$C$6:$AC$1000,18,0),"")</f>
        <v/>
      </c>
      <c r="N21" s="185" t="str">
        <f>IFERROR(VLOOKUP($C21,PoolPairs!$C$6:$AC$1000,17,0),"")</f>
        <v/>
      </c>
      <c r="O21" s="202" t="str">
        <f>IFERROR(VLOOKUP(C21,PoolPairs!$C$6:$AC$1000,19,0),"")</f>
        <v/>
      </c>
      <c r="P21" s="373" t="str">
        <f>IFERROR(LOOKUP($N$2,Data1!B39:B102,Data1!F39:F102),"")</f>
        <v/>
      </c>
      <c r="Q21" s="169">
        <f>IFERROR(VLOOKUP(C21,Data1!$G$3:$J$9,4,0),"")</f>
        <v>0.77594568380213391</v>
      </c>
      <c r="R21" s="158" t="str">
        <f>IFERROR($P$21*Q21,"")</f>
        <v/>
      </c>
      <c r="S21" s="127" t="str">
        <f>IFERROR(VLOOKUP(C21,Address!$C$6:$J$1000,2,0),"")</f>
        <v/>
      </c>
      <c r="T21" s="77" t="str">
        <f t="shared" ref="T21:T38" si="1">IFERROR(IF(AND(S21&lt;&gt;0,N21&lt;&gt;0),S21/N21,0),"")</f>
        <v/>
      </c>
      <c r="U21" s="217" t="str">
        <f>IFERROR(R21*myLT!T21,"")</f>
        <v/>
      </c>
      <c r="V21" s="286" t="str">
        <f>IFERROR(U21*Data1!$C$15,"")</f>
        <v/>
      </c>
      <c r="W21" s="277" t="str">
        <f>IFERROR(IF(T21&lt;&gt;0,VLOOKUP($C21,PoolPairs!$C$6:$AC$1000,8,0)*T21,0),"")</f>
        <v/>
      </c>
      <c r="X21" s="129" t="str">
        <f>IFERROR(IF(AND(S21&lt;&gt;0,N21&lt;&gt;0),VLOOKUP($C21,PoolPairs!$C$6:$AC$1000,13,0)*T21,0),"")</f>
        <v/>
      </c>
      <c r="Y21" s="129" t="str">
        <f>IFERROR(IF(AND(W21&lt;&gt;"",X21&lt;&gt;"",H21&lt;&gt;""),W21*H21*(1-VLOOKUP($C21,PoolPairs!$C$6:$AC$1000,21,0))+X21,""),"")</f>
        <v/>
      </c>
      <c r="Z21" s="219" t="str">
        <f>IFERROR(Y21/$AA$21,"")</f>
        <v/>
      </c>
      <c r="AA21" s="377">
        <f>IFERROR(SUM(Y21:Y28),"?")</f>
        <v>0</v>
      </c>
      <c r="AB21" s="378"/>
      <c r="AC21" s="1"/>
      <c r="AD21" s="94"/>
    </row>
    <row r="22" spans="2:30" ht="13.5" customHeight="1" x14ac:dyDescent="0.2">
      <c r="B22" s="41"/>
      <c r="C22" s="7">
        <v>4</v>
      </c>
      <c r="D22" s="7" t="s">
        <v>43</v>
      </c>
      <c r="E22" s="210" t="str">
        <f>IFERROR(VLOOKUP($C22,PoolPairs!$C$6:$AC$1000,5,0),"")</f>
        <v/>
      </c>
      <c r="F22" s="204" t="str">
        <f>IFERROR(VLOOKUP($C22,PoolPairs!$C$6:$AC$1000,11,0),"")</f>
        <v/>
      </c>
      <c r="G22" s="177">
        <f>IFERROR(VLOOKUP($C22,PoolPairs!$C$6:$AC$1000,15,0),0)</f>
        <v>0</v>
      </c>
      <c r="H22" s="36">
        <f>IFERROR(VLOOKUP($C22,PoolPairs!$C$6:$AC$1000,16,0),0)</f>
        <v>0</v>
      </c>
      <c r="I22" s="163" t="str">
        <f t="shared" ref="I22:I33" si="2">IFERROR(1/J22,"")</f>
        <v/>
      </c>
      <c r="J22" s="231" t="str">
        <f>IFERROR(IF($E22="DUSD",1/VLOOKUP($F22,Prices!$F$6:$Q$1000,5,0),IF($F22="DUSD",VLOOKUP($E22,Prices!$F$6:$Q$1000,5,0),VLOOKUP($E22,Prices!$F$6:$Q$1000,5,0)/VLOOKUP($F22,Prices!$F$6:$Q$1000,5,0))),"")</f>
        <v/>
      </c>
      <c r="K22" s="238" t="str">
        <f t="shared" ref="K22:K33" si="3">IFERROR(H22/J22,"")</f>
        <v/>
      </c>
      <c r="L22" s="239" t="str">
        <f t="shared" ref="L22:L33" si="4">IFERROR(ABS(K22-1),"")</f>
        <v/>
      </c>
      <c r="M22" s="228" t="str">
        <f>IFERROR(VLOOKUP($C22,PoolPairs!$C$6:$AC$1000,18,0),"")</f>
        <v/>
      </c>
      <c r="N22" s="179" t="str">
        <f>IFERROR(VLOOKUP($C22,PoolPairs!$C$6:$AC$1000,17,0),"")</f>
        <v/>
      </c>
      <c r="O22" s="186" t="str">
        <f>IFERROR(VLOOKUP(C22,PoolPairs!$C$6:$AC$1000,19,0),"")</f>
        <v/>
      </c>
      <c r="P22" s="374"/>
      <c r="Q22" s="119">
        <f>IFERROR(VLOOKUP(C22,Data1!$G$3:$J$9,4,0),"")</f>
        <v>0.14548981571290009</v>
      </c>
      <c r="R22" s="159" t="str">
        <f t="shared" ref="R22:R27" si="5">IFERROR($P$21*Q22,"")</f>
        <v/>
      </c>
      <c r="S22" s="130" t="str">
        <f>IFERROR(VLOOKUP(C22,Address!$C$6:$J$1000,2,0),"")</f>
        <v/>
      </c>
      <c r="T22" s="75" t="str">
        <f t="shared" si="1"/>
        <v/>
      </c>
      <c r="U22" s="218" t="str">
        <f>IFERROR(R22*myLT!T22,"")</f>
        <v/>
      </c>
      <c r="V22" s="287" t="str">
        <f>IFERROR(U22*Data1!$C$15,"")</f>
        <v/>
      </c>
      <c r="W22" s="278" t="str">
        <f>IFERROR(IF(T22&lt;&gt;0,VLOOKUP($C22,PoolPairs!$C$6:$AC$1000,8,0)*T22,0),"")</f>
        <v/>
      </c>
      <c r="X22" s="31" t="str">
        <f>IFERROR(IF(AND(S22&lt;&gt;0,N22&lt;&gt;0),VLOOKUP($C22,PoolPairs!$C$6:$AC$1000,13,0)*T22,0),"")</f>
        <v/>
      </c>
      <c r="Y22" s="31" t="str">
        <f>IFERROR(IF(AND(W22&lt;&gt;"",X22&lt;&gt;"",H22&lt;&gt;""),W22*H22*(1-VLOOKUP($C22,PoolPairs!$C$6:$AC$1000,21,0))+X22,""),"")</f>
        <v/>
      </c>
      <c r="Z22" s="220" t="str">
        <f t="shared" ref="Z22:Z28" si="6">IFERROR(Y22/$AA$21,"")</f>
        <v/>
      </c>
      <c r="AA22" s="379"/>
      <c r="AB22" s="380"/>
      <c r="AC22" s="192"/>
      <c r="AD22" s="94"/>
    </row>
    <row r="23" spans="2:30" ht="13.5" customHeight="1" x14ac:dyDescent="0.2">
      <c r="B23" s="41"/>
      <c r="C23" s="34">
        <v>10</v>
      </c>
      <c r="D23" s="34" t="s">
        <v>62</v>
      </c>
      <c r="E23" s="210" t="str">
        <f>IFERROR(VLOOKUP($C23,PoolPairs!$C$6:$AC$1000,5,0),"")</f>
        <v/>
      </c>
      <c r="F23" s="205" t="str">
        <f>IFERROR(VLOOKUP($C23,PoolPairs!$C$6:$AC$1000,11,0),"")</f>
        <v/>
      </c>
      <c r="G23" s="177">
        <f>IFERROR(VLOOKUP($C23,PoolPairs!$C$6:$AC$1000,15,0),0)</f>
        <v>0</v>
      </c>
      <c r="H23" s="35">
        <f>IFERROR(VLOOKUP($C23,PoolPairs!$C$6:$AC$1000,16,0),0)</f>
        <v>0</v>
      </c>
      <c r="I23" s="163" t="str">
        <f t="shared" si="2"/>
        <v/>
      </c>
      <c r="J23" s="232" t="str">
        <f>IFERROR(IF($E23="DUSD",1/VLOOKUP($F23,Prices!$F$6:$Q$1000,5,0),IF($F23="DUSD",VLOOKUP($E23,Prices!$F$6:$Q$1000,5,0),VLOOKUP($E23,Prices!$F$6:$Q$1000,5,0)/VLOOKUP($F23,Prices!$F$6:$Q$1000,5,0))),"")</f>
        <v/>
      </c>
      <c r="K23" s="240" t="str">
        <f t="shared" si="3"/>
        <v/>
      </c>
      <c r="L23" s="241" t="str">
        <f t="shared" si="4"/>
        <v/>
      </c>
      <c r="M23" s="228" t="str">
        <f>IFERROR(VLOOKUP($C23,PoolPairs!$C$6:$AC$1000,18,0),"")</f>
        <v/>
      </c>
      <c r="N23" s="180" t="str">
        <f>IFERROR(VLOOKUP($C23,PoolPairs!$C$6:$AC$1000,17,0),"")</f>
        <v/>
      </c>
      <c r="O23" s="187" t="str">
        <f>IFERROR(VLOOKUP(C23,PoolPairs!$C$6:$AC$1000,19,0),"")</f>
        <v/>
      </c>
      <c r="P23" s="374"/>
      <c r="Q23" s="119">
        <f>IFERROR(VLOOKUP(C23,Data1!$G$3:$J$9,4,0),"")</f>
        <v>1.9398642095053348E-2</v>
      </c>
      <c r="R23" s="159" t="str">
        <f t="shared" si="5"/>
        <v/>
      </c>
      <c r="S23" s="131" t="str">
        <f>IFERROR(VLOOKUP(C23,Address!$C$6:$J$1000,2,0),"")</f>
        <v/>
      </c>
      <c r="T23" s="75" t="str">
        <f t="shared" si="1"/>
        <v/>
      </c>
      <c r="U23" s="218" t="str">
        <f>IFERROR(R23*myLT!T23,"")</f>
        <v/>
      </c>
      <c r="V23" s="287" t="str">
        <f>IFERROR(U23*Data1!$C$15,"")</f>
        <v/>
      </c>
      <c r="W23" s="279" t="str">
        <f>IFERROR(IF(T23&lt;&gt;0,VLOOKUP($C23,PoolPairs!$C$6:$AC$1000,8,0)*T23,0),"")</f>
        <v/>
      </c>
      <c r="X23" s="30" t="str">
        <f>IFERROR(IF(AND(S23&lt;&gt;0,N23&lt;&gt;0),VLOOKUP($C23,PoolPairs!$C$6:$AC$1000,13,0)*T23,0),"")</f>
        <v/>
      </c>
      <c r="Y23" s="30" t="str">
        <f>IFERROR(IF(AND(W23&lt;&gt;"",X23&lt;&gt;"",H23&lt;&gt;""),W23*H23*(1-VLOOKUP($C23,PoolPairs!$C$6:$AC$1000,21,0))+X23,""),"")</f>
        <v/>
      </c>
      <c r="Z23" s="220" t="str">
        <f t="shared" si="6"/>
        <v/>
      </c>
      <c r="AA23" s="379"/>
      <c r="AB23" s="380"/>
      <c r="AC23" s="1"/>
      <c r="AD23" s="94"/>
    </row>
    <row r="24" spans="2:30" ht="13.5" customHeight="1" x14ac:dyDescent="0.2">
      <c r="B24" s="41"/>
      <c r="C24" s="7">
        <v>12</v>
      </c>
      <c r="D24" s="7" t="s">
        <v>63</v>
      </c>
      <c r="E24" s="210" t="str">
        <f>IFERROR(VLOOKUP($C24,PoolPairs!$C$6:$AC$1000,5,0),"")</f>
        <v/>
      </c>
      <c r="F24" s="205" t="str">
        <f>IFERROR(VLOOKUP($C24,PoolPairs!$C$6:$AC$1000,11,0),"")</f>
        <v/>
      </c>
      <c r="G24" s="177">
        <f>IFERROR(VLOOKUP($C24,PoolPairs!$C$6:$AC$1000,15,0),0)</f>
        <v>0</v>
      </c>
      <c r="H24" s="36">
        <f>IFERROR(VLOOKUP($C24,PoolPairs!$C$6:$AC$1000,16,0),0)</f>
        <v>0</v>
      </c>
      <c r="I24" s="163" t="str">
        <f t="shared" si="2"/>
        <v/>
      </c>
      <c r="J24" s="231" t="str">
        <f>IFERROR(IF($E24="DUSD",1/VLOOKUP($F24,Prices!$F$6:$Q$1000,5,0),IF($F24="DUSD",VLOOKUP($E24,Prices!$F$6:$Q$1000,5,0),VLOOKUP($E24,Prices!$F$6:$Q$1000,5,0)/VLOOKUP($F24,Prices!$F$6:$Q$1000,5,0))),"")</f>
        <v/>
      </c>
      <c r="K24" s="238" t="str">
        <f t="shared" si="3"/>
        <v/>
      </c>
      <c r="L24" s="239" t="str">
        <f t="shared" si="4"/>
        <v/>
      </c>
      <c r="M24" s="228" t="str">
        <f>IFERROR(VLOOKUP($C24,PoolPairs!$C$6:$AC$1000,18,0),"")</f>
        <v/>
      </c>
      <c r="N24" s="179" t="str">
        <f>IFERROR(VLOOKUP($C24,PoolPairs!$C$6:$AC$1000,17,0),"")</f>
        <v/>
      </c>
      <c r="O24" s="186" t="str">
        <f>IFERROR(VLOOKUP(C24,PoolPairs!$C$6:$AC$1000,19,0),"")</f>
        <v/>
      </c>
      <c r="P24" s="374"/>
      <c r="Q24" s="119">
        <f>IFERROR(VLOOKUP(C24,Data1!$G$3:$J$9,4,0),"")</f>
        <v>9.6993210475266739E-3</v>
      </c>
      <c r="R24" s="159" t="str">
        <f t="shared" si="5"/>
        <v/>
      </c>
      <c r="S24" s="130" t="str">
        <f>IFERROR(VLOOKUP(C24,Address!$C$6:$J$1000,2,0),"")</f>
        <v/>
      </c>
      <c r="T24" s="75" t="str">
        <f t="shared" si="1"/>
        <v/>
      </c>
      <c r="U24" s="218" t="str">
        <f>IFERROR(R24*myLT!T24,"")</f>
        <v/>
      </c>
      <c r="V24" s="287" t="str">
        <f>IFERROR(U24*Data1!$C$15,"")</f>
        <v/>
      </c>
      <c r="W24" s="278" t="str">
        <f>IFERROR(IF(T24&lt;&gt;0,VLOOKUP($C24,PoolPairs!$C$6:$AC$1000,8,0)*T24,0),"")</f>
        <v/>
      </c>
      <c r="X24" s="31" t="str">
        <f>IFERROR(IF(AND(S24&lt;&gt;0,N24&lt;&gt;0),VLOOKUP($C24,PoolPairs!$C$6:$AC$1000,13,0)*T24,0),"")</f>
        <v/>
      </c>
      <c r="Y24" s="31" t="str">
        <f>IFERROR(IF(AND(W24&lt;&gt;"",X24&lt;&gt;"",H24&lt;&gt;""),W24*H24*(1-VLOOKUP($C24,PoolPairs!$C$6:$AC$1000,21,0))+X24,""),"")</f>
        <v/>
      </c>
      <c r="Z24" s="220" t="str">
        <f t="shared" si="6"/>
        <v/>
      </c>
      <c r="AA24" s="379"/>
      <c r="AB24" s="380"/>
      <c r="AC24" s="1"/>
      <c r="AD24" s="94"/>
    </row>
    <row r="25" spans="2:30" ht="13.5" customHeight="1" x14ac:dyDescent="0.2">
      <c r="B25" s="41"/>
      <c r="C25" s="34">
        <v>8</v>
      </c>
      <c r="D25" s="34" t="s">
        <v>64</v>
      </c>
      <c r="E25" s="210" t="str">
        <f>IFERROR(VLOOKUP($C25,PoolPairs!$C$6:$AC$1000,5,0),"")</f>
        <v/>
      </c>
      <c r="F25" s="205" t="str">
        <f>IFERROR(VLOOKUP($C25,PoolPairs!$C$6:$AC$1000,11,0),"")</f>
        <v/>
      </c>
      <c r="G25" s="177">
        <f>IFERROR(VLOOKUP($C25,PoolPairs!$C$6:$AC$1000,15,0),0)</f>
        <v>0</v>
      </c>
      <c r="H25" s="35">
        <f>IFERROR(VLOOKUP($C25,PoolPairs!$C$6:$AC$1000,16,0),0)</f>
        <v>0</v>
      </c>
      <c r="I25" s="163" t="str">
        <f t="shared" si="2"/>
        <v/>
      </c>
      <c r="J25" s="232" t="str">
        <f>IFERROR(IF($E25="DUSD",1/VLOOKUP($F25,Prices!$F$6:$Q$1000,5,0),IF($F25="DUSD",VLOOKUP($E25,Prices!$F$6:$Q$1000,5,0),VLOOKUP($E25,Prices!$F$6:$Q$1000,5,0)/VLOOKUP($F25,Prices!$F$6:$Q$1000,5,0))),"")</f>
        <v/>
      </c>
      <c r="K25" s="240" t="str">
        <f t="shared" si="3"/>
        <v/>
      </c>
      <c r="L25" s="241" t="str">
        <f t="shared" si="4"/>
        <v/>
      </c>
      <c r="M25" s="228" t="str">
        <f>IFERROR(VLOOKUP($C25,PoolPairs!$C$6:$AC$1000,18,0),"")</f>
        <v/>
      </c>
      <c r="N25" s="180" t="str">
        <f>IFERROR(VLOOKUP($C25,PoolPairs!$C$6:$AC$1000,17,0),"")</f>
        <v/>
      </c>
      <c r="O25" s="187" t="str">
        <f>IFERROR(VLOOKUP(C25,PoolPairs!$C$6:$AC$1000,19,0),"")</f>
        <v/>
      </c>
      <c r="P25" s="374"/>
      <c r="Q25" s="119">
        <f>IFERROR(VLOOKUP(C25,Data1!$G$3:$J$9,4,0),"")</f>
        <v>9.6993210475266743E-4</v>
      </c>
      <c r="R25" s="159" t="str">
        <f t="shared" si="5"/>
        <v/>
      </c>
      <c r="S25" s="131" t="str">
        <f>IFERROR(VLOOKUP(C25,Address!$C$6:$J$1000,2,0),"")</f>
        <v/>
      </c>
      <c r="T25" s="75" t="str">
        <f t="shared" si="1"/>
        <v/>
      </c>
      <c r="U25" s="218" t="str">
        <f>IFERROR(R25*myLT!T25,"")</f>
        <v/>
      </c>
      <c r="V25" s="287" t="str">
        <f>IFERROR(U25*Data1!$C$15,"")</f>
        <v/>
      </c>
      <c r="W25" s="279" t="str">
        <f>IFERROR(IF(T25&lt;&gt;0,VLOOKUP($C25,PoolPairs!$C$6:$AC$1000,8,0)*T25,0),"")</f>
        <v/>
      </c>
      <c r="X25" s="30" t="str">
        <f>IFERROR(IF(AND(S25&lt;&gt;0,N25&lt;&gt;0),VLOOKUP($C25,PoolPairs!$C$6:$AC$1000,13,0)*T25,0),"")</f>
        <v/>
      </c>
      <c r="Y25" s="30" t="str">
        <f>IFERROR(IF(AND(W25&lt;&gt;"",X25&lt;&gt;"",H25&lt;&gt;""),W25*H25*(1-VLOOKUP($C25,PoolPairs!$C$6:$AC$1000,21,0))+X25,""),"")</f>
        <v/>
      </c>
      <c r="Z25" s="220" t="str">
        <f t="shared" si="6"/>
        <v/>
      </c>
      <c r="AA25" s="379"/>
      <c r="AB25" s="380"/>
      <c r="AC25" s="1"/>
      <c r="AD25" s="94"/>
    </row>
    <row r="26" spans="2:30" ht="13.5" customHeight="1" x14ac:dyDescent="0.2">
      <c r="B26" s="41"/>
      <c r="C26" s="25">
        <v>6</v>
      </c>
      <c r="D26" s="25" t="s">
        <v>66</v>
      </c>
      <c r="E26" s="210" t="str">
        <f>IFERROR(VLOOKUP($C26,PoolPairs!$C$6:$AC$1000,5,0),"")</f>
        <v/>
      </c>
      <c r="F26" s="205" t="str">
        <f>IFERROR(VLOOKUP($C26,PoolPairs!$C$6:$AC$1000,11,0),"")</f>
        <v/>
      </c>
      <c r="G26" s="177">
        <f>IFERROR(VLOOKUP($C26,PoolPairs!$C$6:$AC$1000,15,0),0)</f>
        <v>0</v>
      </c>
      <c r="H26" s="37">
        <f>IFERROR(VLOOKUP($C26,PoolPairs!$C$6:$AC$1000,16,0),0)</f>
        <v>0</v>
      </c>
      <c r="I26" s="163" t="str">
        <f t="shared" si="2"/>
        <v/>
      </c>
      <c r="J26" s="233" t="str">
        <f>IFERROR(IF($E26="DUSD",1/VLOOKUP($F26,Prices!$F$6:$Q$1000,5,0),IF($F26="DUSD",VLOOKUP($E26,Prices!$F$6:$Q$1000,5,0),VLOOKUP($E26,Prices!$F$6:$Q$1000,5,0)/VLOOKUP($F26,Prices!$F$6:$Q$1000,5,0))),"")</f>
        <v/>
      </c>
      <c r="K26" s="242" t="str">
        <f t="shared" si="3"/>
        <v/>
      </c>
      <c r="L26" s="243" t="str">
        <f t="shared" si="4"/>
        <v/>
      </c>
      <c r="M26" s="228" t="str">
        <f>IFERROR(VLOOKUP($C26,PoolPairs!$C$6:$AC$1000,18,0),"")</f>
        <v/>
      </c>
      <c r="N26" s="181" t="str">
        <f>IFERROR(VLOOKUP($C26,PoolPairs!$C$6:$AC$1000,17,0),"")</f>
        <v/>
      </c>
      <c r="O26" s="188" t="str">
        <f>IFERROR(VLOOKUP(C26,PoolPairs!$C$6:$AC$1000,19,0),"")</f>
        <v/>
      </c>
      <c r="P26" s="374"/>
      <c r="Q26" s="119">
        <f>IFERROR(VLOOKUP(C26,Data1!$G$3:$J$9,4,0),"")</f>
        <v>3.2331070158422244E-2</v>
      </c>
      <c r="R26" s="159" t="str">
        <f t="shared" si="5"/>
        <v/>
      </c>
      <c r="S26" s="132" t="str">
        <f>IFERROR(VLOOKUP(C26,Address!$C$6:$J$1000,2,0),"")</f>
        <v/>
      </c>
      <c r="T26" s="75" t="str">
        <f t="shared" si="1"/>
        <v/>
      </c>
      <c r="U26" s="218" t="str">
        <f>IFERROR(R26*myLT!T26,"")</f>
        <v/>
      </c>
      <c r="V26" s="287" t="str">
        <f>IFERROR(U26*Data1!$C$15,"")</f>
        <v/>
      </c>
      <c r="W26" s="280" t="str">
        <f>IFERROR(IF(T26&lt;&gt;0,VLOOKUP($C26,PoolPairs!$C$6:$AC$1000,8,0)*T26,0),"")</f>
        <v/>
      </c>
      <c r="X26" s="32" t="str">
        <f>IFERROR(IF(AND(S26&lt;&gt;0,N26&lt;&gt;0),VLOOKUP($C26,PoolPairs!$C$6:$AC$1000,13,0)*T26,0),"")</f>
        <v/>
      </c>
      <c r="Y26" s="32" t="str">
        <f>IFERROR(IF(AND(W26&lt;&gt;"",X26&lt;&gt;"",H26&lt;&gt;""),W26*H26*(1-VLOOKUP($C26,PoolPairs!$C$6:$AC$1000,21,0))+X26,""),"")</f>
        <v/>
      </c>
      <c r="Z26" s="220" t="str">
        <f t="shared" si="6"/>
        <v/>
      </c>
      <c r="AA26" s="379"/>
      <c r="AB26" s="380"/>
      <c r="AC26" s="1"/>
      <c r="AD26" s="94"/>
    </row>
    <row r="27" spans="2:30" ht="13.5" customHeight="1" thickBot="1" x14ac:dyDescent="0.25">
      <c r="B27" s="170"/>
      <c r="C27" s="42">
        <v>14</v>
      </c>
      <c r="D27" s="42" t="s">
        <v>65</v>
      </c>
      <c r="E27" s="211" t="str">
        <f>IFERROR(VLOOKUP($C27,PoolPairs!$C$6:$AC$1000,5,0),"")</f>
        <v/>
      </c>
      <c r="F27" s="206" t="str">
        <f>IFERROR(VLOOKUP($C27,PoolPairs!$C$6:$AC$1000,11,0),"")</f>
        <v/>
      </c>
      <c r="G27" s="178">
        <f>IFERROR(VLOOKUP($C27,PoolPairs!$C$6:$AC$1000,15,0),0)</f>
        <v>0</v>
      </c>
      <c r="H27" s="172">
        <f>IFERROR(VLOOKUP($C27,PoolPairs!$C$6:$AC$1000,16,0),0)</f>
        <v>0</v>
      </c>
      <c r="I27" s="171" t="str">
        <f t="shared" si="2"/>
        <v/>
      </c>
      <c r="J27" s="234" t="str">
        <f>IFERROR(IF($E27="DUSD",1/VLOOKUP($F27,Prices!$F$6:$Q$1000,5,0),IF($F27="DUSD",VLOOKUP($E27,Prices!$F$6:$Q$1000,5,0),VLOOKUP($E27,Prices!$F$6:$Q$1000,5,0)/VLOOKUP($F27,Prices!$F$6:$Q$1000,5,0))),"")</f>
        <v/>
      </c>
      <c r="K27" s="246" t="str">
        <f t="shared" si="3"/>
        <v/>
      </c>
      <c r="L27" s="247" t="str">
        <f t="shared" si="4"/>
        <v/>
      </c>
      <c r="M27" s="229" t="str">
        <f>IFERROR(VLOOKUP($C27,PoolPairs!$C$6:$AC$1000,18,0),"")</f>
        <v/>
      </c>
      <c r="N27" s="182" t="str">
        <f>IFERROR(VLOOKUP($C27,PoolPairs!$C$6:$AC$1000,17,0),"")</f>
        <v/>
      </c>
      <c r="O27" s="189" t="str">
        <f>IFERROR(VLOOKUP(C27,PoolPairs!$C$6:$AC$1000,19,0),"")</f>
        <v/>
      </c>
      <c r="P27" s="375"/>
      <c r="Q27" s="173">
        <f>IFERROR(VLOOKUP(C27,Data1!$G$3:$J$9,4,0),"")</f>
        <v>1.6165535079211122E-2</v>
      </c>
      <c r="R27" s="160" t="str">
        <f t="shared" si="5"/>
        <v/>
      </c>
      <c r="S27" s="133" t="str">
        <f>IFERROR(VLOOKUP(C27,Address!$C$6:$J$1000,2,0),"")</f>
        <v/>
      </c>
      <c r="T27" s="75" t="str">
        <f t="shared" si="1"/>
        <v/>
      </c>
      <c r="U27" s="218" t="str">
        <f>IFERROR(R27*myLT!T27,"")</f>
        <v/>
      </c>
      <c r="V27" s="287" t="str">
        <f>IFERROR(U27*Data1!$C$15,"")</f>
        <v/>
      </c>
      <c r="W27" s="281" t="str">
        <f>IFERROR(IF(T27&lt;&gt;0,VLOOKUP($C27,PoolPairs!$C$6:$AC$1000,8,0)*T27,0),"")</f>
        <v/>
      </c>
      <c r="X27" s="33" t="str">
        <f>IFERROR(IF(AND(S27&lt;&gt;0,N27&lt;&gt;0),VLOOKUP($C27,PoolPairs!$C$6:$AC$1000,13,0)*T27,0),"")</f>
        <v/>
      </c>
      <c r="Y27" s="33" t="str">
        <f>IFERROR(IF(AND(W27&lt;&gt;"",X27&lt;&gt;"",H27&lt;&gt;""),W27*H27*(1-VLOOKUP($C27,PoolPairs!$C$6:$AC$1000,21,0))+X27,""),"")</f>
        <v/>
      </c>
      <c r="Z27" s="220" t="str">
        <f t="shared" si="6"/>
        <v/>
      </c>
      <c r="AA27" s="379"/>
      <c r="AB27" s="380"/>
      <c r="AC27" s="1"/>
      <c r="AD27" s="94"/>
    </row>
    <row r="28" spans="2:30" ht="13.5" customHeight="1" thickBot="1" x14ac:dyDescent="0.25">
      <c r="B28" s="259"/>
      <c r="C28" s="260">
        <v>17</v>
      </c>
      <c r="D28" s="260" t="s">
        <v>22</v>
      </c>
      <c r="E28" s="261" t="str">
        <f>IFERROR(VLOOKUP($C28,PoolPairs!$C$6:$AC$1000,5,0),"")</f>
        <v/>
      </c>
      <c r="F28" s="262" t="str">
        <f>IFERROR(VLOOKUP($C28,PoolPairs!$C$6:$AC$1000,11,0),"")</f>
        <v/>
      </c>
      <c r="G28" s="263">
        <f>IFERROR(VLOOKUP($C28,PoolPairs!$C$6:$AC$1000,15,0),0)</f>
        <v>0</v>
      </c>
      <c r="H28" s="264">
        <f>IFERROR(VLOOKUP($C28,PoolPairs!$C$6:$AC$1000,16,0),0)</f>
        <v>0</v>
      </c>
      <c r="I28" s="265" t="str">
        <f t="shared" si="2"/>
        <v/>
      </c>
      <c r="J28" s="266" t="str">
        <f>IFERROR(IF($E28="DUSD",1/VLOOKUP($F28,Prices!$F$6:$Q$1000,5,0),IF($F28="DUSD",VLOOKUP($E28,Prices!$F$6:$Q$1000,5,0),VLOOKUP($E28,Prices!$F$6:$Q$1000,5,0)/VLOOKUP($F28,Prices!$F$6:$Q$1000,5,0))),"")</f>
        <v/>
      </c>
      <c r="K28" s="267" t="str">
        <f t="shared" si="3"/>
        <v/>
      </c>
      <c r="L28" s="268" t="str">
        <f t="shared" si="4"/>
        <v/>
      </c>
      <c r="M28" s="269" t="str">
        <f>IFERROR(VLOOKUP($C28,PoolPairs!$C$6:$AC$1000,18,0),"")</f>
        <v/>
      </c>
      <c r="N28" s="270" t="str">
        <f>IFERROR(VLOOKUP($C28,PoolPairs!$C$6:$AC$1000,17,0),"")</f>
        <v/>
      </c>
      <c r="O28" s="314" t="str">
        <f>IFERROR(VLOOKUP(C28,PoolPairs!$C$6:$AC$1000,19,0),"")</f>
        <v/>
      </c>
      <c r="P28" s="383" t="str">
        <f>IFERROR(LOOKUP($N$2,Data1!B39:B102,Data1!I39:I102),"")</f>
        <v/>
      </c>
      <c r="Q28" s="304">
        <f>IFERROR(VLOOKUP(C28,Data1!$G$13:$K$32,5,0),"")</f>
        <v>0.5</v>
      </c>
      <c r="R28" s="174" t="str">
        <f>IFERROR($P$28*Q28,"")</f>
        <v/>
      </c>
      <c r="S28" s="134" t="str">
        <f>IFERROR(VLOOKUP(C28,Address!$C$6:$J$1000,2,0),"")</f>
        <v/>
      </c>
      <c r="T28" s="76" t="str">
        <f t="shared" si="1"/>
        <v/>
      </c>
      <c r="U28" s="225" t="str">
        <f>IFERROR(R28*myLT!T28,"")</f>
        <v/>
      </c>
      <c r="V28" s="288" t="str">
        <f>IFERROR(U28*Data1!$C$15,"")</f>
        <v/>
      </c>
      <c r="W28" s="282" t="str">
        <f>IFERROR(IF(T28&lt;&gt;0,VLOOKUP($C28,PoolPairs!$C$6:$AC$1000,8,0)*T28,0),"")</f>
        <v/>
      </c>
      <c r="X28" s="40" t="str">
        <f>IFERROR(IF(AND(S28&lt;&gt;0,N28&lt;&gt;0),VLOOKUP($C28,PoolPairs!$C$6:$AC$1000,13,0)*T28,0),"")</f>
        <v/>
      </c>
      <c r="Y28" s="40" t="str">
        <f>IFERROR(IF(AND(W28&lt;&gt;"",X28&lt;&gt;"",H28&lt;&gt;""),W28*H28*(1-VLOOKUP($C28,PoolPairs!$C$6:$AC$1000,21,0))+X28,""),"")</f>
        <v/>
      </c>
      <c r="Z28" s="221" t="str">
        <f t="shared" si="6"/>
        <v/>
      </c>
      <c r="AA28" s="381"/>
      <c r="AB28" s="382"/>
      <c r="AC28" s="136"/>
      <c r="AD28" s="94"/>
    </row>
    <row r="29" spans="2:30" ht="13.5" customHeight="1" x14ac:dyDescent="0.2">
      <c r="B29" s="248"/>
      <c r="C29" s="249">
        <v>18</v>
      </c>
      <c r="D29" s="249" t="s">
        <v>21</v>
      </c>
      <c r="E29" s="250" t="str">
        <f>IFERROR(VLOOKUP($C29,PoolPairs!$C$6:$AC$1000,5,0),"")</f>
        <v/>
      </c>
      <c r="F29" s="251" t="str">
        <f>IFERROR(VLOOKUP($C29,PoolPairs!$C$6:$AC$1000,11,0),"")</f>
        <v/>
      </c>
      <c r="G29" s="252">
        <f>IFERROR(VLOOKUP($C29,PoolPairs!$C$6:$AC$1000,15,0),0)</f>
        <v>0</v>
      </c>
      <c r="H29" s="253">
        <f>IFERROR(VLOOKUP($C29,PoolPairs!$C$6:$AC$1000,16,0),0)</f>
        <v>0</v>
      </c>
      <c r="I29" s="254" t="str">
        <f t="shared" si="2"/>
        <v/>
      </c>
      <c r="J29" s="255" t="str">
        <f>IFERROR(IF($E29="DUSD",1/VLOOKUP($F29,Prices!$F$6:$Q$1000,5,0),IF($F29="DUSD",VLOOKUP($E29,Prices!$F$6:$Q$1000,5,0),VLOOKUP($E29,Prices!$F$6:$Q$1000,5,0)/VLOOKUP($F29,Prices!$F$6:$Q$1000,5,0))),"")</f>
        <v/>
      </c>
      <c r="K29" s="256" t="str">
        <f t="shared" si="3"/>
        <v/>
      </c>
      <c r="L29" s="257" t="str">
        <f t="shared" si="4"/>
        <v/>
      </c>
      <c r="M29" s="227" t="str">
        <f>IFERROR(VLOOKUP($C29,PoolPairs!$C$6:$AC$1000,18,0),"")</f>
        <v/>
      </c>
      <c r="N29" s="258" t="str">
        <f>IFERROR(VLOOKUP($C29,PoolPairs!$C$6:$AC$1000,17,0),"")</f>
        <v/>
      </c>
      <c r="O29" s="315" t="str">
        <f>IFERROR(VLOOKUP(C29,PoolPairs!$C$6:$AC$1000,19,0),"")</f>
        <v/>
      </c>
      <c r="P29" s="384"/>
      <c r="Q29" s="305">
        <f>IFERROR(VLOOKUP(C29,Data1!$G$13:$K$32,5,0),"")</f>
        <v>7.0400000000000004E-2</v>
      </c>
      <c r="R29" s="161" t="str">
        <f t="shared" ref="R29:R40" si="7">IFERROR($P$28*Q29,"")</f>
        <v/>
      </c>
      <c r="S29" s="135" t="str">
        <f>IFERROR(VLOOKUP(C29,Address!$C$6:$J$1000,2,0),"")</f>
        <v/>
      </c>
      <c r="T29" s="77" t="str">
        <f t="shared" si="1"/>
        <v/>
      </c>
      <c r="U29" s="217" t="str">
        <f>IFERROR(R29*myLT!T29,"")</f>
        <v/>
      </c>
      <c r="V29" s="286" t="str">
        <f>IFERROR(U29*Data1!$C$15,"")</f>
        <v/>
      </c>
      <c r="W29" s="283" t="str">
        <f>IFERROR(IF(T29&lt;&gt;0,VLOOKUP($C29,PoolPairs!$C$6:$AC$1000,8,0)*T29,0),"")</f>
        <v/>
      </c>
      <c r="X29" s="44" t="str">
        <f>IFERROR(IF(AND(S29&lt;&gt;0,N29&lt;&gt;0),VLOOKUP($C29,PoolPairs!$C$6:$AC$1000,13,0)*T29,0),"")</f>
        <v/>
      </c>
      <c r="Y29" s="44" t="str">
        <f>IFERROR(IF(AND(W29&lt;&gt;"",X29&lt;&gt;"",H29&lt;&gt;""),W29*H29*(1-VLOOKUP($C29,PoolPairs!$C$6:$AC$1000,21,0))+X29,""),"")</f>
        <v/>
      </c>
      <c r="Z29" s="222" t="str">
        <f>IFERROR(Y29/$AA$29,"")</f>
        <v/>
      </c>
      <c r="AA29" s="386">
        <f>IFERROR(SUM(Y29:Y47),"?")</f>
        <v>0</v>
      </c>
      <c r="AB29" s="389">
        <f>IFERROR($AA$29*$H$28*(1-VLOOKUP($C29,PoolPairs!$C$6:$AC$1000,21,0)),0)</f>
        <v>0</v>
      </c>
      <c r="AC29" s="319"/>
    </row>
    <row r="30" spans="2:30" ht="13.5" customHeight="1" x14ac:dyDescent="0.2">
      <c r="B30" s="41"/>
      <c r="C30" s="25">
        <v>25</v>
      </c>
      <c r="D30" s="25" t="s">
        <v>27</v>
      </c>
      <c r="E30" s="212" t="str">
        <f>IFERROR(VLOOKUP($C30,PoolPairs!$C$6:$AC$1000,5,0),"")</f>
        <v/>
      </c>
      <c r="F30" s="207" t="str">
        <f>IFERROR(VLOOKUP($C30,PoolPairs!$C$6:$AC$1000,11,0),"")</f>
        <v/>
      </c>
      <c r="G30" s="177">
        <f>IFERROR(VLOOKUP($C30,PoolPairs!$C$6:$AC$1000,15,0),0)</f>
        <v>0</v>
      </c>
      <c r="H30" s="37">
        <f>IFERROR(VLOOKUP($C30,PoolPairs!$C$6:$AC$1000,16,0),0)</f>
        <v>0</v>
      </c>
      <c r="I30" s="163" t="str">
        <f t="shared" si="2"/>
        <v/>
      </c>
      <c r="J30" s="233" t="str">
        <f>IFERROR(IF($E30="DUSD",1/VLOOKUP($F30,Prices!$F$6:$Q$1000,5,0),IF($F30="DUSD",VLOOKUP($E30,Prices!$F$6:$Q$1000,5,0),VLOOKUP($E30,Prices!$F$6:$Q$1000,5,0)/VLOOKUP($F30,Prices!$F$6:$Q$1000,5,0))),"")</f>
        <v/>
      </c>
      <c r="K30" s="242" t="str">
        <f t="shared" si="3"/>
        <v/>
      </c>
      <c r="L30" s="243" t="str">
        <f t="shared" si="4"/>
        <v/>
      </c>
      <c r="M30" s="228" t="str">
        <f>IFERROR(VLOOKUP($C30,PoolPairs!$C$6:$AC$1000,18,0),"")</f>
        <v/>
      </c>
      <c r="N30" s="181" t="str">
        <f>IFERROR(VLOOKUP($C30,PoolPairs!$C$6:$AC$1000,17,0),"")</f>
        <v/>
      </c>
      <c r="O30" s="316" t="str">
        <f>IFERROR(VLOOKUP(C30,PoolPairs!$C$6:$AC$1000,19,0),"")</f>
        <v/>
      </c>
      <c r="P30" s="384"/>
      <c r="Q30" s="305">
        <f>IFERROR(VLOOKUP(C30,Data1!$G$13:$K$32,5,0),"")</f>
        <v>3.0800000000000001E-2</v>
      </c>
      <c r="R30" s="161" t="str">
        <f t="shared" si="7"/>
        <v/>
      </c>
      <c r="S30" s="132" t="str">
        <f>IFERROR(VLOOKUP(C30,Address!$C$6:$J$1000,2,0),"")</f>
        <v/>
      </c>
      <c r="T30" s="75" t="str">
        <f t="shared" si="1"/>
        <v/>
      </c>
      <c r="U30" s="218" t="str">
        <f>IFERROR(R30*myLT!T30,"")</f>
        <v/>
      </c>
      <c r="V30" s="287" t="str">
        <f>IFERROR(U30*Data1!$C$15,"")</f>
        <v/>
      </c>
      <c r="W30" s="284" t="str">
        <f>IFERROR(IF(T30&lt;&gt;0,VLOOKUP($C30,PoolPairs!$C$6:$AC$1000,8,0)*T30,0),"")</f>
        <v/>
      </c>
      <c r="X30" s="165" t="str">
        <f>IFERROR(IF(AND(S30&lt;&gt;0,N30&lt;&gt;0),VLOOKUP($C30,PoolPairs!$C$6:$AC$1000,13,0)*T30,0),"")</f>
        <v/>
      </c>
      <c r="Y30" s="165" t="str">
        <f>IFERROR(IF(AND(W30&lt;&gt;"",X30&lt;&gt;"",H30&lt;&gt;""),W30*H30*(1-VLOOKUP($C30,PoolPairs!$C$6:$AC$1000,21,0))+X30,""),"")</f>
        <v/>
      </c>
      <c r="Z30" s="223" t="str">
        <f t="shared" ref="Z30:Z38" si="8">IFERROR(Y30/$AA$29,"")</f>
        <v/>
      </c>
      <c r="AA30" s="387"/>
      <c r="AB30" s="390"/>
      <c r="AC30" s="319"/>
    </row>
    <row r="31" spans="2:30" ht="13.5" customHeight="1" x14ac:dyDescent="0.2">
      <c r="B31" s="41"/>
      <c r="C31" s="38">
        <v>32</v>
      </c>
      <c r="D31" s="38" t="s">
        <v>26</v>
      </c>
      <c r="E31" s="212" t="str">
        <f>IFERROR(VLOOKUP($C31,PoolPairs!$C$6:$AC$1000,5,0),"")</f>
        <v/>
      </c>
      <c r="F31" s="207" t="str">
        <f>IFERROR(VLOOKUP($C31,PoolPairs!$C$6:$AC$1000,11,0),"")</f>
        <v/>
      </c>
      <c r="G31" s="177">
        <f>IFERROR(VLOOKUP($C31,PoolPairs!$C$6:$AC$1000,15,0),0)</f>
        <v>0</v>
      </c>
      <c r="H31" s="39">
        <f>IFERROR(VLOOKUP($C31,PoolPairs!$C$6:$AC$1000,16,0),0)</f>
        <v>0</v>
      </c>
      <c r="I31" s="163" t="str">
        <f t="shared" si="2"/>
        <v/>
      </c>
      <c r="J31" s="235" t="str">
        <f>IFERROR(IF($E31="DUSD",1/VLOOKUP($F31,Prices!$F$6:$Q$1000,5,0),IF($F31="DUSD",VLOOKUP($E31,Prices!$F$6:$Q$1000,5,0),VLOOKUP($E31,Prices!$F$6:$Q$1000,5,0)/VLOOKUP($F31,Prices!$F$6:$Q$1000,5,0))),"")</f>
        <v/>
      </c>
      <c r="K31" s="244" t="str">
        <f t="shared" si="3"/>
        <v/>
      </c>
      <c r="L31" s="245" t="str">
        <f t="shared" si="4"/>
        <v/>
      </c>
      <c r="M31" s="228" t="str">
        <f>IFERROR(VLOOKUP($C31,PoolPairs!$C$6:$AC$1000,18,0),"")</f>
        <v/>
      </c>
      <c r="N31" s="183" t="str">
        <f>IFERROR(VLOOKUP($C31,PoolPairs!$C$6:$AC$1000,17,0),"")</f>
        <v/>
      </c>
      <c r="O31" s="315" t="str">
        <f>IFERROR(VLOOKUP(C31,PoolPairs!$C$6:$AC$1000,19,0),"")</f>
        <v/>
      </c>
      <c r="P31" s="384"/>
      <c r="Q31" s="305">
        <f>IFERROR(VLOOKUP(C31,Data1!$G$13:$K$32,5,0),"")</f>
        <v>1.6899999999999998E-2</v>
      </c>
      <c r="R31" s="161" t="str">
        <f t="shared" si="7"/>
        <v/>
      </c>
      <c r="S31" s="132" t="str">
        <f>IFERROR(VLOOKUP(C31,Address!$C$6:$J$1000,2,0),"")</f>
        <v/>
      </c>
      <c r="T31" s="75" t="str">
        <f t="shared" si="1"/>
        <v/>
      </c>
      <c r="U31" s="218" t="str">
        <f>IFERROR(R31*myLT!T31,"")</f>
        <v/>
      </c>
      <c r="V31" s="287" t="str">
        <f>IFERROR(U31*Data1!$C$15,"")</f>
        <v/>
      </c>
      <c r="W31" s="284" t="str">
        <f>IFERROR(IF(T31&lt;&gt;0,VLOOKUP($C31,PoolPairs!$C$6:$AC$1000,8,0)*T31,0),"")</f>
        <v/>
      </c>
      <c r="X31" s="165" t="str">
        <f>IFERROR(IF(AND(S31&lt;&gt;0,N31&lt;&gt;0),VLOOKUP($C31,PoolPairs!$C$6:$AC$1000,13,0)*T31,0),"")</f>
        <v/>
      </c>
      <c r="Y31" s="164" t="str">
        <f>IFERROR(IF(AND(W31&lt;&gt;"",X31&lt;&gt;"",H31&lt;&gt;""),W31*H31*(1-VLOOKUP($C31,PoolPairs!$C$6:$AC$1000,21,0))+X31,""),"")</f>
        <v/>
      </c>
      <c r="Z31" s="223" t="str">
        <f t="shared" si="8"/>
        <v/>
      </c>
      <c r="AA31" s="387"/>
      <c r="AB31" s="390"/>
      <c r="AC31" s="319"/>
    </row>
    <row r="32" spans="2:30" ht="13.5" customHeight="1" x14ac:dyDescent="0.2">
      <c r="B32" s="41"/>
      <c r="C32" s="25">
        <v>33</v>
      </c>
      <c r="D32" s="25" t="s">
        <v>77</v>
      </c>
      <c r="E32" s="212" t="str">
        <f>IFERROR(VLOOKUP($C32,PoolPairs!$C$6:$AC$1000,5,0),"")</f>
        <v/>
      </c>
      <c r="F32" s="207" t="str">
        <f>IFERROR(VLOOKUP($C32,PoolPairs!$C$6:$AC$1000,11,0),"")</f>
        <v/>
      </c>
      <c r="G32" s="177">
        <f>IFERROR(VLOOKUP($C32,PoolPairs!$C$6:$AC$1000,15,0),0)</f>
        <v>0</v>
      </c>
      <c r="H32" s="37">
        <f>IFERROR(VLOOKUP($C32,PoolPairs!$C$6:$AC$1000,16,0),0)</f>
        <v>0</v>
      </c>
      <c r="I32" s="163" t="str">
        <f t="shared" si="2"/>
        <v/>
      </c>
      <c r="J32" s="233" t="str">
        <f>IFERROR(IF($E32="DUSD",1/VLOOKUP($F32,Prices!$F$6:$Q$1000,5,0),IF($F32="DUSD",VLOOKUP($E32,Prices!$F$6:$Q$1000,5,0),VLOOKUP($E32,Prices!$F$6:$Q$1000,5,0)/VLOOKUP($F32,Prices!$F$6:$Q$1000,5,0))),"")</f>
        <v/>
      </c>
      <c r="K32" s="242" t="str">
        <f t="shared" si="3"/>
        <v/>
      </c>
      <c r="L32" s="243" t="str">
        <f t="shared" si="4"/>
        <v/>
      </c>
      <c r="M32" s="228" t="str">
        <f>IFERROR(VLOOKUP($C32,PoolPairs!$C$6:$AC$1000,18,0),"")</f>
        <v/>
      </c>
      <c r="N32" s="181" t="str">
        <f>IFERROR(VLOOKUP($C32,PoolPairs!$C$6:$AC$1000,17,0),"")</f>
        <v/>
      </c>
      <c r="O32" s="316" t="str">
        <f>IFERROR(VLOOKUP(C32,PoolPairs!$C$6:$AC$1000,19,0),"")</f>
        <v/>
      </c>
      <c r="P32" s="384"/>
      <c r="Q32" s="305">
        <f>IFERROR(VLOOKUP(C32,Data1!$G$13:$K$32,5,0),"")</f>
        <v>2.7199999999999998E-2</v>
      </c>
      <c r="R32" s="161" t="str">
        <f t="shared" si="7"/>
        <v/>
      </c>
      <c r="S32" s="132" t="str">
        <f>IFERROR(VLOOKUP(C32,Address!$C$6:$J$1000,2,0),"")</f>
        <v/>
      </c>
      <c r="T32" s="75" t="str">
        <f t="shared" si="1"/>
        <v/>
      </c>
      <c r="U32" s="218" t="str">
        <f>IFERROR(R32*myLT!T32,"")</f>
        <v/>
      </c>
      <c r="V32" s="287" t="str">
        <f>IFERROR(U32*Data1!$C$15,"")</f>
        <v/>
      </c>
      <c r="W32" s="284" t="str">
        <f>IFERROR(IF(T32&lt;&gt;0,VLOOKUP($C32,PoolPairs!$C$6:$AC$1000,8,0)*T32,0),"")</f>
        <v/>
      </c>
      <c r="X32" s="165" t="str">
        <f>IFERROR(IF(AND(S32&lt;&gt;0,N32&lt;&gt;0),VLOOKUP($C32,PoolPairs!$C$6:$AC$1000,13,0)*T32,0),"")</f>
        <v/>
      </c>
      <c r="Y32" s="165" t="str">
        <f>IFERROR(IF(AND(W32&lt;&gt;"",X32&lt;&gt;"",H32&lt;&gt;""),W32*H32*(1-VLOOKUP($C32,PoolPairs!$C$6:$AC$1000,21,0))+X32,""),"")</f>
        <v/>
      </c>
      <c r="Z32" s="223" t="str">
        <f t="shared" si="8"/>
        <v/>
      </c>
      <c r="AA32" s="387"/>
      <c r="AB32" s="390"/>
      <c r="AC32" s="319"/>
    </row>
    <row r="33" spans="2:32" ht="13.5" customHeight="1" x14ac:dyDescent="0.2">
      <c r="B33" s="41"/>
      <c r="C33" s="38">
        <v>35</v>
      </c>
      <c r="D33" s="38" t="s">
        <v>79</v>
      </c>
      <c r="E33" s="212" t="str">
        <f>IFERROR(VLOOKUP($C33,PoolPairs!$C$6:$AC$1000,5,0),"")</f>
        <v/>
      </c>
      <c r="F33" s="207" t="str">
        <f>IFERROR(VLOOKUP($C33,PoolPairs!$C$6:$AC$1000,11,0),"")</f>
        <v/>
      </c>
      <c r="G33" s="177">
        <f>IFERROR(VLOOKUP($C33,PoolPairs!$C$6:$AC$1000,15,0),0)</f>
        <v>0</v>
      </c>
      <c r="H33" s="39">
        <f>IFERROR(VLOOKUP($C33,PoolPairs!$C$6:$AC$1000,16,0),0)</f>
        <v>0</v>
      </c>
      <c r="I33" s="163" t="str">
        <f t="shared" si="2"/>
        <v/>
      </c>
      <c r="J33" s="235" t="str">
        <f>IFERROR(IF($E33="DUSD",1/VLOOKUP($F33,Prices!$F$6:$Q$1000,5,0),IF($F33="DUSD",VLOOKUP($E33,Prices!$F$6:$Q$1000,5,0),VLOOKUP($E33,Prices!$F$6:$Q$1000,5,0)/VLOOKUP($F33,Prices!$F$6:$Q$1000,5,0))),"")</f>
        <v/>
      </c>
      <c r="K33" s="244" t="str">
        <f t="shared" si="3"/>
        <v/>
      </c>
      <c r="L33" s="245" t="str">
        <f t="shared" si="4"/>
        <v/>
      </c>
      <c r="M33" s="228" t="str">
        <f>IFERROR(VLOOKUP($C33,PoolPairs!$C$6:$AC$1000,18,0),"")</f>
        <v/>
      </c>
      <c r="N33" s="183" t="str">
        <f>IFERROR(VLOOKUP($C33,PoolPairs!$C$6:$AC$1000,17,0),"")</f>
        <v/>
      </c>
      <c r="O33" s="315" t="str">
        <f>IFERROR(VLOOKUP(C33,PoolPairs!$C$6:$AC$1000,19,0),"")</f>
        <v/>
      </c>
      <c r="P33" s="384"/>
      <c r="Q33" s="305">
        <f>IFERROR(VLOOKUP(C33,Data1!$G$13:$K$32,5,0),"")</f>
        <v>1.9199999999999998E-2</v>
      </c>
      <c r="R33" s="161" t="str">
        <f t="shared" si="7"/>
        <v/>
      </c>
      <c r="S33" s="132" t="str">
        <f>IFERROR(VLOOKUP(C33,Address!$C$6:$J$1000,2,0),"")</f>
        <v/>
      </c>
      <c r="T33" s="75" t="str">
        <f t="shared" si="1"/>
        <v/>
      </c>
      <c r="U33" s="218" t="str">
        <f>IFERROR(R33*myLT!T33,"")</f>
        <v/>
      </c>
      <c r="V33" s="287" t="str">
        <f>IFERROR(U33*Data1!$C$15,"")</f>
        <v/>
      </c>
      <c r="W33" s="284" t="str">
        <f>IFERROR(IF(T33&lt;&gt;0,VLOOKUP($C33,PoolPairs!$C$6:$AC$1000,8,0)*T33,0),"")</f>
        <v/>
      </c>
      <c r="X33" s="165" t="str">
        <f>IFERROR(IF(AND(S33&lt;&gt;0,N33&lt;&gt;0),VLOOKUP($C33,PoolPairs!$C$6:$AC$1000,13,0)*T33,0),"")</f>
        <v/>
      </c>
      <c r="Y33" s="164" t="str">
        <f>IFERROR(IF(AND(W33&lt;&gt;"",X33&lt;&gt;"",H33&lt;&gt;""),W33*H33*(1-VLOOKUP($C33,PoolPairs!$C$6:$AC$1000,21,0))+X33,""),"")</f>
        <v/>
      </c>
      <c r="Z33" s="223" t="str">
        <f t="shared" si="8"/>
        <v/>
      </c>
      <c r="AA33" s="387"/>
      <c r="AB33" s="390"/>
      <c r="AC33" s="319"/>
    </row>
    <row r="34" spans="2:32" ht="13.5" customHeight="1" x14ac:dyDescent="0.2">
      <c r="B34" s="41"/>
      <c r="C34" s="25">
        <v>36</v>
      </c>
      <c r="D34" s="25" t="s">
        <v>80</v>
      </c>
      <c r="E34" s="212" t="str">
        <f>IFERROR(VLOOKUP($C34,PoolPairs!$C$6:$AC$1000,5,0),"")</f>
        <v/>
      </c>
      <c r="F34" s="207" t="str">
        <f>IFERROR(VLOOKUP($C34,PoolPairs!$C$6:$AC$1000,11,0),"")</f>
        <v/>
      </c>
      <c r="G34" s="177">
        <f>IFERROR(VLOOKUP($C34,PoolPairs!$C$6:$AC$1000,15,0),0)</f>
        <v>0</v>
      </c>
      <c r="H34" s="37">
        <f>IFERROR(VLOOKUP($C34,PoolPairs!$C$6:$AC$1000,16,0),0)</f>
        <v>0</v>
      </c>
      <c r="I34" s="163" t="str">
        <f t="shared" ref="I34:I47" si="9">IFERROR(1/J34,"")</f>
        <v/>
      </c>
      <c r="J34" s="233" t="str">
        <f>IFERROR(IF($E34="DUSD",1/VLOOKUP($F34,Prices!$F$6:$Q$1000,5,0),IF($F34="DUSD",VLOOKUP($E34,Prices!$F$6:$Q$1000,5,0),VLOOKUP($E34,Prices!$F$6:$Q$1000,5,0)/VLOOKUP($F34,Prices!$F$6:$Q$1000,5,0))),"")</f>
        <v/>
      </c>
      <c r="K34" s="242" t="str">
        <f t="shared" ref="K34:K47" si="10">IFERROR(H34/J34,"")</f>
        <v/>
      </c>
      <c r="L34" s="243" t="str">
        <f t="shared" ref="L34:L47" si="11">IFERROR(ABS(K34-1),"")</f>
        <v/>
      </c>
      <c r="M34" s="228" t="str">
        <f>IFERROR(VLOOKUP($C34,PoolPairs!$C$6:$AC$1000,18,0),"")</f>
        <v/>
      </c>
      <c r="N34" s="181" t="str">
        <f>IFERROR(VLOOKUP($C34,PoolPairs!$C$6:$AC$1000,17,0),"")</f>
        <v/>
      </c>
      <c r="O34" s="316" t="str">
        <f>IFERROR(VLOOKUP(C34,PoolPairs!$C$6:$AC$1000,19,0),"")</f>
        <v/>
      </c>
      <c r="P34" s="384"/>
      <c r="Q34" s="305">
        <f>IFERROR(VLOOKUP(C34,Data1!$G$13:$K$32,5,0),"")</f>
        <v>3.6799999999999999E-2</v>
      </c>
      <c r="R34" s="161" t="str">
        <f t="shared" si="7"/>
        <v/>
      </c>
      <c r="S34" s="132" t="str">
        <f>IFERROR(VLOOKUP(C34,Address!$C$6:$J$1000,2,0),"")</f>
        <v/>
      </c>
      <c r="T34" s="75" t="str">
        <f t="shared" si="1"/>
        <v/>
      </c>
      <c r="U34" s="218" t="str">
        <f>IFERROR(R34*myLT!T34,"")</f>
        <v/>
      </c>
      <c r="V34" s="287" t="str">
        <f>IFERROR(U34*Data1!$C$15,"")</f>
        <v/>
      </c>
      <c r="W34" s="284" t="str">
        <f>IFERROR(IF(T34&lt;&gt;0,VLOOKUP($C34,PoolPairs!$C$6:$AC$1000,8,0)*T34,0),"")</f>
        <v/>
      </c>
      <c r="X34" s="165" t="str">
        <f>IFERROR(IF(AND(S34&lt;&gt;0,N34&lt;&gt;0),VLOOKUP($C34,PoolPairs!$C$6:$AC$1000,13,0)*T34,0),"")</f>
        <v/>
      </c>
      <c r="Y34" s="165" t="str">
        <f>IFERROR(IF(AND(W34&lt;&gt;"",X34&lt;&gt;"",H34&lt;&gt;""),W34*H34*(1-VLOOKUP($C34,PoolPairs!$C$6:$AC$1000,21,0))+X34,""),"")</f>
        <v/>
      </c>
      <c r="Z34" s="223" t="str">
        <f t="shared" si="8"/>
        <v/>
      </c>
      <c r="AA34" s="387"/>
      <c r="AB34" s="390"/>
      <c r="AC34" s="319"/>
    </row>
    <row r="35" spans="2:32" ht="13.5" customHeight="1" x14ac:dyDescent="0.2">
      <c r="B35" s="41"/>
      <c r="C35" s="38">
        <v>42</v>
      </c>
      <c r="D35" s="38" t="s">
        <v>82</v>
      </c>
      <c r="E35" s="212" t="str">
        <f>IFERROR(VLOOKUP($C35,PoolPairs!$C$6:$AC$1000,5,0),"")</f>
        <v/>
      </c>
      <c r="F35" s="207" t="str">
        <f>IFERROR(VLOOKUP($C35,PoolPairs!$C$6:$AC$1000,11,0),"")</f>
        <v/>
      </c>
      <c r="G35" s="177">
        <f>IFERROR(VLOOKUP($C35,PoolPairs!$C$6:$AC$1000,15,0),0)</f>
        <v>0</v>
      </c>
      <c r="H35" s="39">
        <f>IFERROR(VLOOKUP($C35,PoolPairs!$C$6:$AC$1000,16,0),0)</f>
        <v>0</v>
      </c>
      <c r="I35" s="163" t="str">
        <f t="shared" si="9"/>
        <v/>
      </c>
      <c r="J35" s="235" t="str">
        <f>IFERROR(IF($E35="DUSD",1/VLOOKUP($F35,Prices!$F$6:$Q$1000,5,0),IF($F35="DUSD",VLOOKUP($E35,Prices!$F$6:$Q$1000,5,0),VLOOKUP($E35,Prices!$F$6:$Q$1000,5,0)/VLOOKUP($F35,Prices!$F$6:$Q$1000,5,0))),"")</f>
        <v/>
      </c>
      <c r="K35" s="244" t="str">
        <f t="shared" si="10"/>
        <v/>
      </c>
      <c r="L35" s="245" t="str">
        <f t="shared" si="11"/>
        <v/>
      </c>
      <c r="M35" s="228" t="str">
        <f>IFERROR(VLOOKUP($C35,PoolPairs!$C$6:$AC$1000,18,0),"")</f>
        <v/>
      </c>
      <c r="N35" s="183" t="str">
        <f>IFERROR(VLOOKUP($C35,PoolPairs!$C$6:$AC$1000,17,0),"")</f>
        <v/>
      </c>
      <c r="O35" s="315" t="str">
        <f>IFERROR(VLOOKUP(C35,PoolPairs!$C$6:$AC$1000,19,0),"")</f>
        <v/>
      </c>
      <c r="P35" s="384"/>
      <c r="Q35" s="305">
        <f>IFERROR(VLOOKUP(C35,Data1!$G$13:$K$32,5,0),"")</f>
        <v>2.1600000000000001E-2</v>
      </c>
      <c r="R35" s="161" t="str">
        <f t="shared" si="7"/>
        <v/>
      </c>
      <c r="S35" s="132" t="str">
        <f>IFERROR(VLOOKUP(C35,Address!$C$6:$J$1000,2,0),"")</f>
        <v/>
      </c>
      <c r="T35" s="75" t="str">
        <f t="shared" si="1"/>
        <v/>
      </c>
      <c r="U35" s="218" t="str">
        <f>IFERROR(R35*myLT!T35,"")</f>
        <v/>
      </c>
      <c r="V35" s="287" t="str">
        <f>IFERROR(U35*Data1!$C$15,"")</f>
        <v/>
      </c>
      <c r="W35" s="284" t="str">
        <f>IFERROR(IF(T35&lt;&gt;0,VLOOKUP($C35,PoolPairs!$C$6:$AC$1000,8,0)*T35,0),"")</f>
        <v/>
      </c>
      <c r="X35" s="165" t="str">
        <f>IFERROR(IF(AND(S35&lt;&gt;0,N35&lt;&gt;0),VLOOKUP($C35,PoolPairs!$C$6:$AC$1000,13,0)*T35,0),"")</f>
        <v/>
      </c>
      <c r="Y35" s="164" t="str">
        <f>IFERROR(IF(AND(W35&lt;&gt;"",X35&lt;&gt;"",H35&lt;&gt;""),W35*H35*(1-VLOOKUP($C35,PoolPairs!$C$6:$AC$1000,21,0))+X35,""),"")</f>
        <v/>
      </c>
      <c r="Z35" s="223" t="str">
        <f t="shared" si="8"/>
        <v/>
      </c>
      <c r="AA35" s="387"/>
      <c r="AB35" s="390"/>
      <c r="AC35" s="319"/>
    </row>
    <row r="36" spans="2:32" ht="13.5" customHeight="1" x14ac:dyDescent="0.2">
      <c r="B36" s="41"/>
      <c r="C36" s="25">
        <v>38</v>
      </c>
      <c r="D36" s="25" t="s">
        <v>24</v>
      </c>
      <c r="E36" s="212" t="str">
        <f>IFERROR(VLOOKUP($C36,PoolPairs!$C$6:$AC$1000,5,0),"")</f>
        <v/>
      </c>
      <c r="F36" s="207" t="str">
        <f>IFERROR(VLOOKUP($C36,PoolPairs!$C$6:$AC$1000,11,0),"")</f>
        <v/>
      </c>
      <c r="G36" s="177">
        <f>IFERROR(VLOOKUP($C36,PoolPairs!$C$6:$AC$1000,15,0),0)</f>
        <v>0</v>
      </c>
      <c r="H36" s="37">
        <f>IFERROR(VLOOKUP($C36,PoolPairs!$C$6:$AC$1000,16,0),0)</f>
        <v>0</v>
      </c>
      <c r="I36" s="163" t="str">
        <f t="shared" si="9"/>
        <v/>
      </c>
      <c r="J36" s="233" t="str">
        <f>IFERROR(IF($E36="DUSD",1/VLOOKUP($F36,Prices!$F$6:$Q$1000,5,0),IF($F36="DUSD",VLOOKUP($E36,Prices!$F$6:$Q$1000,5,0),VLOOKUP($E36,Prices!$F$6:$Q$1000,5,0)/VLOOKUP($F36,Prices!$F$6:$Q$1000,5,0))),"")</f>
        <v/>
      </c>
      <c r="K36" s="242" t="str">
        <f t="shared" si="10"/>
        <v/>
      </c>
      <c r="L36" s="243" t="str">
        <f t="shared" si="11"/>
        <v/>
      </c>
      <c r="M36" s="228" t="str">
        <f>IFERROR(VLOOKUP($C36,PoolPairs!$C$6:$AC$1000,18,0),"")</f>
        <v/>
      </c>
      <c r="N36" s="181" t="str">
        <f>IFERROR(VLOOKUP($C36,PoolPairs!$C$6:$AC$1000,17,0),"")</f>
        <v/>
      </c>
      <c r="O36" s="316" t="str">
        <f>IFERROR(VLOOKUP(C36,PoolPairs!$C$6:$AC$1000,19,0),"")</f>
        <v/>
      </c>
      <c r="P36" s="384"/>
      <c r="Q36" s="305">
        <f>IFERROR(VLOOKUP(C36,Data1!$G$13:$K$32,5,0),"")</f>
        <v>7.9299999999999995E-2</v>
      </c>
      <c r="R36" s="161" t="str">
        <f t="shared" si="7"/>
        <v/>
      </c>
      <c r="S36" s="132" t="str">
        <f>IFERROR(VLOOKUP(C36,Address!$C$6:$J$1000,2,0),"")</f>
        <v/>
      </c>
      <c r="T36" s="75" t="str">
        <f t="shared" si="1"/>
        <v/>
      </c>
      <c r="U36" s="218" t="str">
        <f>IFERROR(R36*myLT!T36,"")</f>
        <v/>
      </c>
      <c r="V36" s="287" t="str">
        <f>IFERROR(U36*Data1!$C$15,"")</f>
        <v/>
      </c>
      <c r="W36" s="284" t="str">
        <f>IFERROR(IF(T36&lt;&gt;0,VLOOKUP($C36,PoolPairs!$C$6:$AC$1000,8,0)*T36,0),"")</f>
        <v/>
      </c>
      <c r="X36" s="165" t="str">
        <f>IFERROR(IF(AND(S36&lt;&gt;0,N36&lt;&gt;0),VLOOKUP($C36,PoolPairs!$C$6:$AC$1000,13,0)*T36,0),"")</f>
        <v/>
      </c>
      <c r="Y36" s="165" t="str">
        <f>IFERROR(IF(AND(W36&lt;&gt;"",X36&lt;&gt;"",H36&lt;&gt;""),W36*H36*(1-VLOOKUP($C36,PoolPairs!$C$6:$AC$1000,21,0))+X36,""),"")</f>
        <v/>
      </c>
      <c r="Z36" s="223" t="str">
        <f t="shared" si="8"/>
        <v/>
      </c>
      <c r="AA36" s="387"/>
      <c r="AB36" s="390"/>
      <c r="AC36" s="319"/>
    </row>
    <row r="37" spans="2:32" ht="13.5" customHeight="1" x14ac:dyDescent="0.2">
      <c r="B37" s="41"/>
      <c r="C37" s="38">
        <v>39</v>
      </c>
      <c r="D37" s="38" t="s">
        <v>25</v>
      </c>
      <c r="E37" s="212" t="str">
        <f>IFERROR(VLOOKUP($C37,PoolPairs!$C$6:$AC$1000,5,0),"")</f>
        <v/>
      </c>
      <c r="F37" s="207" t="str">
        <f>IFERROR(VLOOKUP($C37,PoolPairs!$C$6:$AC$1000,11,0),"")</f>
        <v/>
      </c>
      <c r="G37" s="177">
        <f>IFERROR(VLOOKUP($C37,PoolPairs!$C$6:$AC$1000,15,0),0)</f>
        <v>0</v>
      </c>
      <c r="H37" s="39">
        <f>IFERROR(VLOOKUP($C37,PoolPairs!$C$6:$AC$1000,16,0),0)</f>
        <v>0</v>
      </c>
      <c r="I37" s="163" t="str">
        <f t="shared" si="9"/>
        <v/>
      </c>
      <c r="J37" s="235" t="str">
        <f>IFERROR(IF($E37="DUSD",1/VLOOKUP($F37,Prices!$F$6:$Q$1000,5,0),IF($F37="DUSD",VLOOKUP($E37,Prices!$F$6:$Q$1000,5,0),VLOOKUP($E37,Prices!$F$6:$Q$1000,5,0)/VLOOKUP($F37,Prices!$F$6:$Q$1000,5,0))),"")</f>
        <v/>
      </c>
      <c r="K37" s="244" t="str">
        <f t="shared" si="10"/>
        <v/>
      </c>
      <c r="L37" s="245" t="str">
        <f t="shared" si="11"/>
        <v/>
      </c>
      <c r="M37" s="228" t="str">
        <f>IFERROR(VLOOKUP($C37,PoolPairs!$C$6:$AC$1000,18,0),"")</f>
        <v/>
      </c>
      <c r="N37" s="183" t="str">
        <f>IFERROR(VLOOKUP($C37,PoolPairs!$C$6:$AC$1000,17,0),"")</f>
        <v/>
      </c>
      <c r="O37" s="315" t="str">
        <f>IFERROR(VLOOKUP(C37,PoolPairs!$C$6:$AC$1000,19,0),"")</f>
        <v/>
      </c>
      <c r="P37" s="384"/>
      <c r="Q37" s="305">
        <f>IFERROR(VLOOKUP(C37,Data1!$G$13:$K$32,5,0),"")</f>
        <v>4.99E-2</v>
      </c>
      <c r="R37" s="161" t="str">
        <f t="shared" si="7"/>
        <v/>
      </c>
      <c r="S37" s="132" t="str">
        <f>IFERROR(VLOOKUP(C37,Address!$C$6:$J$1000,2,0),"")</f>
        <v/>
      </c>
      <c r="T37" s="75" t="str">
        <f t="shared" si="1"/>
        <v/>
      </c>
      <c r="U37" s="218" t="str">
        <f>IFERROR(R37*myLT!T37,"")</f>
        <v/>
      </c>
      <c r="V37" s="287" t="str">
        <f>IFERROR(U37*Data1!$C$15,"")</f>
        <v/>
      </c>
      <c r="W37" s="284" t="str">
        <f>IFERROR(IF(T37&lt;&gt;0,VLOOKUP($C37,PoolPairs!$C$6:$AC$1000,8,0)*T37,0),"")</f>
        <v/>
      </c>
      <c r="X37" s="165" t="str">
        <f>IFERROR(IF(AND(S37&lt;&gt;0,N37&lt;&gt;0),VLOOKUP($C37,PoolPairs!$C$6:$AC$1000,13,0)*T37,0),"")</f>
        <v/>
      </c>
      <c r="Y37" s="164" t="str">
        <f>IFERROR(IF(AND(W37&lt;&gt;"",X37&lt;&gt;"",H37&lt;&gt;""),W37*H37*(1-VLOOKUP($C37,PoolPairs!$C$6:$AC$1000,21,0))+X37,""),"")</f>
        <v/>
      </c>
      <c r="Z37" s="223" t="str">
        <f t="shared" si="8"/>
        <v/>
      </c>
      <c r="AA37" s="387"/>
      <c r="AB37" s="390"/>
      <c r="AC37" s="319"/>
    </row>
    <row r="38" spans="2:32" ht="13.5" customHeight="1" x14ac:dyDescent="0.2">
      <c r="B38" s="41"/>
      <c r="C38" s="25">
        <v>43</v>
      </c>
      <c r="D38" s="25" t="s">
        <v>83</v>
      </c>
      <c r="E38" s="212" t="str">
        <f>IFERROR(VLOOKUP($C38,PoolPairs!$C$6:$AC$1000,5,0),"")</f>
        <v/>
      </c>
      <c r="F38" s="207" t="str">
        <f>IFERROR(VLOOKUP($C38,PoolPairs!$C$6:$AC$1000,11,0),"")</f>
        <v/>
      </c>
      <c r="G38" s="177">
        <f>IFERROR(VLOOKUP($C38,PoolPairs!$C$6:$AC$1000,15,0),0)</f>
        <v>0</v>
      </c>
      <c r="H38" s="37">
        <f>IFERROR(VLOOKUP($C38,PoolPairs!$C$6:$AC$1000,16,0),0)</f>
        <v>0</v>
      </c>
      <c r="I38" s="163" t="str">
        <f t="shared" si="9"/>
        <v/>
      </c>
      <c r="J38" s="233" t="str">
        <f>IFERROR(IF($E38="DUSD",1/VLOOKUP($F38,Prices!$F$6:$Q$1000,5,0),IF($F38="DUSD",VLOOKUP($E38,Prices!$F$6:$Q$1000,5,0),VLOOKUP($E38,Prices!$F$6:$Q$1000,5,0)/VLOOKUP($F38,Prices!$F$6:$Q$1000,5,0))),"")</f>
        <v/>
      </c>
      <c r="K38" s="242" t="str">
        <f t="shared" si="10"/>
        <v/>
      </c>
      <c r="L38" s="243" t="str">
        <f t="shared" si="11"/>
        <v/>
      </c>
      <c r="M38" s="228" t="str">
        <f>IFERROR(VLOOKUP($C38,PoolPairs!$C$6:$AC$1000,18,0),"")</f>
        <v/>
      </c>
      <c r="N38" s="181" t="str">
        <f>IFERROR(VLOOKUP($C38,PoolPairs!$C$6:$AC$1000,17,0),"")</f>
        <v/>
      </c>
      <c r="O38" s="316" t="str">
        <f>IFERROR(VLOOKUP(C38,PoolPairs!$C$6:$AC$1000,19,0),"")</f>
        <v/>
      </c>
      <c r="P38" s="384"/>
      <c r="Q38" s="305">
        <f>IFERROR(VLOOKUP(C38,Data1!$G$13:$K$32,5,0),"")</f>
        <v>7.1999999999999998E-3</v>
      </c>
      <c r="R38" s="161" t="str">
        <f t="shared" si="7"/>
        <v/>
      </c>
      <c r="S38" s="132" t="str">
        <f>IFERROR(VLOOKUP(C38,Address!$C$6:$J$1000,2,0),"")</f>
        <v/>
      </c>
      <c r="T38" s="75" t="str">
        <f t="shared" si="1"/>
        <v/>
      </c>
      <c r="U38" s="218" t="str">
        <f>IFERROR(R38*myLT!T38,"")</f>
        <v/>
      </c>
      <c r="V38" s="287" t="str">
        <f>IFERROR(U38*Data1!$C$15,"")</f>
        <v/>
      </c>
      <c r="W38" s="284" t="str">
        <f>IFERROR(IF(T38&lt;&gt;0,VLOOKUP($C38,PoolPairs!$C$6:$AC$1000,8,0)*T38,0),"")</f>
        <v/>
      </c>
      <c r="X38" s="165" t="str">
        <f>IFERROR(IF(AND(S38&lt;&gt;0,N38&lt;&gt;0),VLOOKUP($C38,PoolPairs!$C$6:$AC$1000,13,0)*T38,0),"")</f>
        <v/>
      </c>
      <c r="Y38" s="165" t="str">
        <f>IFERROR(IF(AND(W38&lt;&gt;"",X38&lt;&gt;"",H38&lt;&gt;""),W38*H38*(1-VLOOKUP($C38,PoolPairs!$C$6:$AC$1000,21,0))+X38,""),"")</f>
        <v/>
      </c>
      <c r="Z38" s="223" t="str">
        <f t="shared" si="8"/>
        <v/>
      </c>
      <c r="AA38" s="387"/>
      <c r="AB38" s="390"/>
      <c r="AC38" s="319"/>
    </row>
    <row r="39" spans="2:32" ht="13.5" customHeight="1" x14ac:dyDescent="0.2">
      <c r="B39" s="41"/>
      <c r="C39" s="38">
        <v>46</v>
      </c>
      <c r="D39" s="38" t="s">
        <v>23</v>
      </c>
      <c r="E39" s="212" t="str">
        <f>IFERROR(VLOOKUP($C39,PoolPairs!$C$6:$AC$1000,5,0),"")</f>
        <v/>
      </c>
      <c r="F39" s="207" t="str">
        <f>IFERROR(VLOOKUP($C39,PoolPairs!$C$6:$AC$1000,11,0),"")</f>
        <v/>
      </c>
      <c r="G39" s="177">
        <f>IFERROR(VLOOKUP($C39,PoolPairs!$C$6:$AC$1000,15,0),0)</f>
        <v>0</v>
      </c>
      <c r="H39" s="39">
        <f>IFERROR(VLOOKUP($C39,PoolPairs!$C$6:$AC$1000,16,0),0)</f>
        <v>0</v>
      </c>
      <c r="I39" s="163" t="str">
        <f t="shared" si="9"/>
        <v/>
      </c>
      <c r="J39" s="235" t="str">
        <f>IFERROR(IF($E39="DUSD",1/VLOOKUP($F39,Prices!$F$6:$Q$1000,5,0),IF($F39="DUSD",VLOOKUP($E39,Prices!$F$6:$Q$1000,5,0),VLOOKUP($E39,Prices!$F$6:$Q$1000,5,0)/VLOOKUP($F39,Prices!$F$6:$Q$1000,5,0))),"")</f>
        <v/>
      </c>
      <c r="K39" s="244" t="str">
        <f t="shared" si="10"/>
        <v/>
      </c>
      <c r="L39" s="245" t="str">
        <f t="shared" si="11"/>
        <v/>
      </c>
      <c r="M39" s="228" t="str">
        <f>IFERROR(VLOOKUP($C39,PoolPairs!$C$6:$AC$1000,18,0),"")</f>
        <v/>
      </c>
      <c r="N39" s="183" t="str">
        <f>IFERROR(VLOOKUP($C39,PoolPairs!$C$6:$AC$1000,17,0),"")</f>
        <v/>
      </c>
      <c r="O39" s="315" t="str">
        <f>IFERROR(VLOOKUP(C39,PoolPairs!$C$6:$AC$1000,19,0),"")</f>
        <v/>
      </c>
      <c r="P39" s="384"/>
      <c r="Q39" s="305">
        <f>IFERROR(VLOOKUP(C39,Data1!$G$13:$K$32,5,0),"")</f>
        <v>9.7999999999999997E-3</v>
      </c>
      <c r="R39" s="161" t="str">
        <f t="shared" si="7"/>
        <v/>
      </c>
      <c r="S39" s="132" t="str">
        <f>IFERROR(VLOOKUP(C39,Address!$C$6:$J$1000,2,0),"")</f>
        <v/>
      </c>
      <c r="T39" s="75" t="str">
        <f t="shared" ref="T39:T47" si="12">IFERROR(IF(AND(S39&lt;&gt;0,N39&lt;&gt;0),S39/N39,0),"")</f>
        <v/>
      </c>
      <c r="U39" s="218" t="str">
        <f>IFERROR(R39*myLT!T39,"")</f>
        <v/>
      </c>
      <c r="V39" s="287" t="str">
        <f>IFERROR(U39*Data1!$C$15,"")</f>
        <v/>
      </c>
      <c r="W39" s="284" t="str">
        <f>IFERROR(IF(T39&lt;&gt;0,VLOOKUP($C39,PoolPairs!$C$6:$AC$1000,8,0)*T39,0),"")</f>
        <v/>
      </c>
      <c r="X39" s="165" t="str">
        <f>IFERROR(IF(AND(S39&lt;&gt;0,N39&lt;&gt;0),VLOOKUP($C39,PoolPairs!$C$6:$AC$1000,13,0)*T39,0),"")</f>
        <v/>
      </c>
      <c r="Y39" s="165" t="str">
        <f>IFERROR(IF(AND(W39&lt;&gt;"",X39&lt;&gt;"",H39&lt;&gt;""),W39*H39*(1-VLOOKUP($C39,PoolPairs!$C$6:$AC$1000,21,0))+X39,""),"")</f>
        <v/>
      </c>
      <c r="Z39" s="223" t="str">
        <f t="shared" ref="Z39:Z47" si="13">IFERROR(Y39/$AA$29,"")</f>
        <v/>
      </c>
      <c r="AA39" s="387"/>
      <c r="AB39" s="390"/>
      <c r="AC39" s="319"/>
    </row>
    <row r="40" spans="2:32" ht="13.5" customHeight="1" x14ac:dyDescent="0.2">
      <c r="B40" s="41"/>
      <c r="C40" s="25">
        <v>40</v>
      </c>
      <c r="D40" s="25" t="s">
        <v>28</v>
      </c>
      <c r="E40" s="212" t="str">
        <f>IFERROR(VLOOKUP($C40,PoolPairs!$C$6:$AC$1000,5,0),"")</f>
        <v/>
      </c>
      <c r="F40" s="207" t="str">
        <f>IFERROR(VLOOKUP($C40,PoolPairs!$C$6:$AC$1000,11,0),"")</f>
        <v/>
      </c>
      <c r="G40" s="177">
        <f>IFERROR(VLOOKUP($C40,PoolPairs!$C$6:$AC$1000,15,0),0)</f>
        <v>0</v>
      </c>
      <c r="H40" s="37">
        <f>IFERROR(VLOOKUP($C40,PoolPairs!$C$6:$AC$1000,16,0),0)</f>
        <v>0</v>
      </c>
      <c r="I40" s="163" t="str">
        <f t="shared" si="9"/>
        <v/>
      </c>
      <c r="J40" s="233" t="str">
        <f>IFERROR(IF($E40="DUSD",1/VLOOKUP($F40,Prices!$F$6:$Q$1000,5,0),IF($F40="DUSD",VLOOKUP($E40,Prices!$F$6:$Q$1000,5,0),VLOOKUP($E40,Prices!$F$6:$Q$1000,5,0)/VLOOKUP($F40,Prices!$F$6:$Q$1000,5,0))),"")</f>
        <v/>
      </c>
      <c r="K40" s="242" t="str">
        <f t="shared" si="10"/>
        <v/>
      </c>
      <c r="L40" s="243" t="str">
        <f t="shared" si="11"/>
        <v/>
      </c>
      <c r="M40" s="228" t="str">
        <f>IFERROR(VLOOKUP($C40,PoolPairs!$C$6:$AC$1000,18,0),"")</f>
        <v/>
      </c>
      <c r="N40" s="181" t="str">
        <f>IFERROR(VLOOKUP($C40,PoolPairs!$C$6:$AC$1000,17,0),"")</f>
        <v/>
      </c>
      <c r="O40" s="316" t="str">
        <f>IFERROR(VLOOKUP(C40,PoolPairs!$C$6:$AC$1000,19,0),"")</f>
        <v/>
      </c>
      <c r="P40" s="384"/>
      <c r="Q40" s="305">
        <f>IFERROR(VLOOKUP(C40,Data1!$G$13:$K$32,5,0),"")</f>
        <v>5.1999999999999998E-3</v>
      </c>
      <c r="R40" s="161" t="str">
        <f t="shared" si="7"/>
        <v/>
      </c>
      <c r="S40" s="132" t="str">
        <f>IFERROR(VLOOKUP(C40,Address!$C$6:$J$1000,2,0),"")</f>
        <v/>
      </c>
      <c r="T40" s="75" t="str">
        <f t="shared" si="12"/>
        <v/>
      </c>
      <c r="U40" s="218" t="str">
        <f>IFERROR(R40*myLT!T40,"")</f>
        <v/>
      </c>
      <c r="V40" s="287" t="str">
        <f>IFERROR(U40*Data1!$C$15,"")</f>
        <v/>
      </c>
      <c r="W40" s="284" t="str">
        <f>IFERROR(IF(T40&lt;&gt;0,VLOOKUP($C40,PoolPairs!$C$6:$AC$1000,8,0)*T40,0),"")</f>
        <v/>
      </c>
      <c r="X40" s="165" t="str">
        <f>IFERROR(IF(AND(S40&lt;&gt;0,N40&lt;&gt;0),VLOOKUP($C40,PoolPairs!$C$6:$AC$1000,13,0)*T40,0),"")</f>
        <v/>
      </c>
      <c r="Y40" s="165" t="str">
        <f>IFERROR(IF(AND(W40&lt;&gt;"",X40&lt;&gt;"",H40&lt;&gt;""),W40*H40*(1-VLOOKUP($C40,PoolPairs!$C$6:$AC$1000,21,0))+X40,""),"")</f>
        <v/>
      </c>
      <c r="Z40" s="223" t="str">
        <f t="shared" si="13"/>
        <v/>
      </c>
      <c r="AA40" s="387"/>
      <c r="AB40" s="390"/>
      <c r="AC40" s="319"/>
      <c r="AE40" s="83"/>
      <c r="AF40" s="83"/>
    </row>
    <row r="41" spans="2:32" ht="13.5" customHeight="1" x14ac:dyDescent="0.2">
      <c r="B41" s="41"/>
      <c r="C41" s="38">
        <v>41</v>
      </c>
      <c r="D41" s="38" t="s">
        <v>41</v>
      </c>
      <c r="E41" s="212" t="str">
        <f>IFERROR(VLOOKUP($C41,PoolPairs!$C$6:$AC$1000,5,0),"")</f>
        <v/>
      </c>
      <c r="F41" s="207" t="str">
        <f>IFERROR(VLOOKUP($C41,PoolPairs!$C$6:$AC$1000,11,0),"")</f>
        <v/>
      </c>
      <c r="G41" s="177">
        <f>IFERROR(VLOOKUP($C41,PoolPairs!$C$6:$AC$1000,15,0),0)</f>
        <v>0</v>
      </c>
      <c r="H41" s="39">
        <f>IFERROR(VLOOKUP($C41,PoolPairs!$C$6:$AC$1000,16,0),0)</f>
        <v>0</v>
      </c>
      <c r="I41" s="163" t="str">
        <f t="shared" si="9"/>
        <v/>
      </c>
      <c r="J41" s="235" t="str">
        <f>IFERROR(IF($E41="DUSD",1/VLOOKUP($F41,Prices!$F$6:$Q$1000,5,0),IF($F41="DUSD",VLOOKUP($E41,Prices!$F$6:$Q$1000,5,0),VLOOKUP($E41,Prices!$F$6:$Q$1000,5,0)/VLOOKUP($F41,Prices!$F$6:$Q$1000,5,0))),"")</f>
        <v/>
      </c>
      <c r="K41" s="244" t="str">
        <f t="shared" si="10"/>
        <v/>
      </c>
      <c r="L41" s="245" t="str">
        <f t="shared" si="11"/>
        <v/>
      </c>
      <c r="M41" s="228" t="str">
        <f>IFERROR(VLOOKUP($C41,PoolPairs!$C$6:$AC$1000,18,0),"")</f>
        <v/>
      </c>
      <c r="N41" s="183" t="str">
        <f>IFERROR(VLOOKUP($C41,PoolPairs!$C$6:$AC$1000,17,0),"")</f>
        <v/>
      </c>
      <c r="O41" s="315" t="str">
        <f>IFERROR(VLOOKUP(C41,PoolPairs!$C$6:$AC$1000,19,0),"")</f>
        <v/>
      </c>
      <c r="P41" s="384"/>
      <c r="Q41" s="305">
        <f>IFERROR(VLOOKUP(C41,Data1!$G$13:$K$32,5,0),"")</f>
        <v>7.1000000000000004E-3</v>
      </c>
      <c r="R41" s="161" t="str">
        <f t="shared" ref="R41:R47" si="14">IFERROR($P$28*Q41,"")</f>
        <v/>
      </c>
      <c r="S41" s="132" t="str">
        <f>IFERROR(VLOOKUP(C41,Address!$C$6:$J$1000,2,0),"")</f>
        <v/>
      </c>
      <c r="T41" s="75" t="str">
        <f t="shared" si="12"/>
        <v/>
      </c>
      <c r="U41" s="218" t="str">
        <f>IFERROR(R41*myLT!T41,"")</f>
        <v/>
      </c>
      <c r="V41" s="287" t="str">
        <f>IFERROR(U41*Data1!$C$15,"")</f>
        <v/>
      </c>
      <c r="W41" s="284" t="str">
        <f>IFERROR(IF(T41&lt;&gt;0,VLOOKUP($C41,PoolPairs!$C$6:$AC$1000,8,0)*T41,0),"")</f>
        <v/>
      </c>
      <c r="X41" s="165" t="str">
        <f>IFERROR(IF(AND(S41&lt;&gt;0,N41&lt;&gt;0),VLOOKUP($C41,PoolPairs!$C$6:$AC$1000,13,0)*T41,0),"")</f>
        <v/>
      </c>
      <c r="Y41" s="165" t="str">
        <f>IFERROR(IF(AND(W41&lt;&gt;"",X41&lt;&gt;"",H41&lt;&gt;""),W41*H41*(1-VLOOKUP($C41,PoolPairs!$C$6:$AC$1000,21,0))+X41,""),"")</f>
        <v/>
      </c>
      <c r="Z41" s="223" t="str">
        <f t="shared" si="13"/>
        <v/>
      </c>
      <c r="AA41" s="387"/>
      <c r="AB41" s="390"/>
      <c r="AC41" s="319"/>
      <c r="AE41" s="83"/>
      <c r="AF41" s="83"/>
    </row>
    <row r="42" spans="2:32" ht="13.5" customHeight="1" x14ac:dyDescent="0.2">
      <c r="B42" s="41"/>
      <c r="C42" s="25">
        <v>44</v>
      </c>
      <c r="D42" s="25" t="s">
        <v>84</v>
      </c>
      <c r="E42" s="212" t="str">
        <f>IFERROR(VLOOKUP($C42,PoolPairs!$C$6:$AC$1000,5,0),"")</f>
        <v/>
      </c>
      <c r="F42" s="207" t="str">
        <f>IFERROR(VLOOKUP($C42,PoolPairs!$C$6:$AC$1000,11,0),"")</f>
        <v/>
      </c>
      <c r="G42" s="177">
        <f>IFERROR(VLOOKUP($C42,PoolPairs!$C$6:$AC$1000,15,0),0)</f>
        <v>0</v>
      </c>
      <c r="H42" s="37">
        <f>IFERROR(VLOOKUP($C42,PoolPairs!$C$6:$AC$1000,16,0),0)</f>
        <v>0</v>
      </c>
      <c r="I42" s="163" t="str">
        <f t="shared" si="9"/>
        <v/>
      </c>
      <c r="J42" s="233" t="str">
        <f>IFERROR(IF($E42="DUSD",1/VLOOKUP($F42,Prices!$F$6:$Q$1000,5,0),IF($F42="DUSD",VLOOKUP($E42,Prices!$F$6:$Q$1000,5,0),VLOOKUP($E42,Prices!$F$6:$Q$1000,5,0)/VLOOKUP($F42,Prices!$F$6:$Q$1000,5,0))),"")</f>
        <v/>
      </c>
      <c r="K42" s="242" t="str">
        <f t="shared" si="10"/>
        <v/>
      </c>
      <c r="L42" s="243" t="str">
        <f t="shared" si="11"/>
        <v/>
      </c>
      <c r="M42" s="228" t="str">
        <f>IFERROR(VLOOKUP($C42,PoolPairs!$C$6:$AC$1000,18,0),"")</f>
        <v/>
      </c>
      <c r="N42" s="181" t="str">
        <f>IFERROR(VLOOKUP($C42,PoolPairs!$C$6:$AC$1000,17,0),"")</f>
        <v/>
      </c>
      <c r="O42" s="316" t="str">
        <f>IFERROR(VLOOKUP(C42,PoolPairs!$C$6:$AC$1000,19,0),"")</f>
        <v/>
      </c>
      <c r="P42" s="384"/>
      <c r="Q42" s="305">
        <f>IFERROR(VLOOKUP(C42,Data1!$G$13:$K$32,5,0),"")</f>
        <v>5.4000000000000003E-3</v>
      </c>
      <c r="R42" s="161" t="str">
        <f t="shared" si="14"/>
        <v/>
      </c>
      <c r="S42" s="132" t="str">
        <f>IFERROR(VLOOKUP(C42,Address!$C$6:$J$1000,2,0),"")</f>
        <v/>
      </c>
      <c r="T42" s="75" t="str">
        <f t="shared" si="12"/>
        <v/>
      </c>
      <c r="U42" s="218" t="str">
        <f>IFERROR(R42*myLT!T42,"")</f>
        <v/>
      </c>
      <c r="V42" s="287" t="str">
        <f>IFERROR(U42*Data1!$C$15,"")</f>
        <v/>
      </c>
      <c r="W42" s="284" t="str">
        <f>IFERROR(IF(T42&lt;&gt;0,VLOOKUP($C42,PoolPairs!$C$6:$AC$1000,8,0)*T42,0),"")</f>
        <v/>
      </c>
      <c r="X42" s="165" t="str">
        <f>IFERROR(IF(AND(S42&lt;&gt;0,N42&lt;&gt;0),VLOOKUP($C42,PoolPairs!$C$6:$AC$1000,13,0)*T42,0),"")</f>
        <v/>
      </c>
      <c r="Y42" s="165" t="str">
        <f>IFERROR(IF(AND(W42&lt;&gt;"",X42&lt;&gt;"",H42&lt;&gt;""),W42*H42*(1-VLOOKUP($C42,PoolPairs!$C$6:$AC$1000,21,0))+X42,""),"")</f>
        <v/>
      </c>
      <c r="Z42" s="223" t="str">
        <f t="shared" si="13"/>
        <v/>
      </c>
      <c r="AA42" s="387"/>
      <c r="AB42" s="390"/>
      <c r="AC42" s="319"/>
      <c r="AE42" s="84"/>
      <c r="AF42" s="83"/>
    </row>
    <row r="43" spans="2:32" ht="13.5" customHeight="1" x14ac:dyDescent="0.2">
      <c r="B43" s="41"/>
      <c r="C43" s="38">
        <v>45</v>
      </c>
      <c r="D43" s="38" t="s">
        <v>85</v>
      </c>
      <c r="E43" s="212" t="str">
        <f>IFERROR(VLOOKUP($C43,PoolPairs!$C$6:$AC$1000,5,0),"")</f>
        <v/>
      </c>
      <c r="F43" s="207" t="str">
        <f>IFERROR(VLOOKUP($C43,PoolPairs!$C$6:$AC$1000,11,0),"")</f>
        <v/>
      </c>
      <c r="G43" s="177">
        <f>IFERROR(VLOOKUP($C43,PoolPairs!$C$6:$AC$1000,15,0),0)</f>
        <v>0</v>
      </c>
      <c r="H43" s="39">
        <f>IFERROR(VLOOKUP($C43,PoolPairs!$C$6:$AC$1000,16,0),0)</f>
        <v>0</v>
      </c>
      <c r="I43" s="163" t="str">
        <f t="shared" si="9"/>
        <v/>
      </c>
      <c r="J43" s="235" t="str">
        <f>IFERROR(IF($E43="DUSD",1/VLOOKUP($F43,Prices!$F$6:$Q$1000,5,0),IF($F43="DUSD",VLOOKUP($E43,Prices!$F$6:$Q$1000,5,0),VLOOKUP($E43,Prices!$F$6:$Q$1000,5,0)/VLOOKUP($F43,Prices!$F$6:$Q$1000,5,0))),"")</f>
        <v/>
      </c>
      <c r="K43" s="244" t="str">
        <f t="shared" si="10"/>
        <v/>
      </c>
      <c r="L43" s="245" t="str">
        <f t="shared" si="11"/>
        <v/>
      </c>
      <c r="M43" s="228" t="str">
        <f>IFERROR(VLOOKUP($C43,PoolPairs!$C$6:$AC$1000,18,0),"")</f>
        <v/>
      </c>
      <c r="N43" s="183" t="str">
        <f>IFERROR(VLOOKUP($C43,PoolPairs!$C$6:$AC$1000,17,0),"")</f>
        <v/>
      </c>
      <c r="O43" s="315" t="str">
        <f>IFERROR(VLOOKUP(C43,PoolPairs!$C$6:$AC$1000,19,0),"")</f>
        <v/>
      </c>
      <c r="P43" s="384"/>
      <c r="Q43" s="305">
        <f>IFERROR(VLOOKUP(C43,Data1!$G$13:$K$32,5,0),"")</f>
        <v>1.0200000000000001E-2</v>
      </c>
      <c r="R43" s="161" t="str">
        <f t="shared" si="14"/>
        <v/>
      </c>
      <c r="S43" s="132" t="str">
        <f>IFERROR(VLOOKUP(C43,Address!$C$6:$J$1000,2,0),"")</f>
        <v/>
      </c>
      <c r="T43" s="75" t="str">
        <f t="shared" si="12"/>
        <v/>
      </c>
      <c r="U43" s="218" t="str">
        <f>IFERROR(R43*myLT!T43,"")</f>
        <v/>
      </c>
      <c r="V43" s="287" t="str">
        <f>IFERROR(U43*Data1!$C$15,"")</f>
        <v/>
      </c>
      <c r="W43" s="284" t="str">
        <f>IFERROR(IF(T43&lt;&gt;0,VLOOKUP($C43,PoolPairs!$C$6:$AC$1000,8,0)*T43,0),"")</f>
        <v/>
      </c>
      <c r="X43" s="165" t="str">
        <f>IFERROR(IF(AND(S43&lt;&gt;0,N43&lt;&gt;0),VLOOKUP($C43,PoolPairs!$C$6:$AC$1000,13,0)*T43,0),"")</f>
        <v/>
      </c>
      <c r="Y43" s="165" t="str">
        <f>IFERROR(IF(AND(W43&lt;&gt;"",X43&lt;&gt;"",H43&lt;&gt;""),W43*H43*(1-VLOOKUP($C43,PoolPairs!$C$6:$AC$1000,21,0))+X43,""),"")</f>
        <v/>
      </c>
      <c r="Z43" s="223" t="str">
        <f t="shared" si="13"/>
        <v/>
      </c>
      <c r="AA43" s="387"/>
      <c r="AB43" s="390"/>
      <c r="AC43" s="319"/>
      <c r="AE43" s="82"/>
      <c r="AF43" s="82"/>
    </row>
    <row r="44" spans="2:32" ht="13.5" customHeight="1" x14ac:dyDescent="0.2">
      <c r="B44" s="248"/>
      <c r="C44" s="307">
        <v>54</v>
      </c>
      <c r="D44" s="308" t="s">
        <v>183</v>
      </c>
      <c r="E44" s="250" t="str">
        <f>IFERROR(VLOOKUP($C44,PoolPairs!$C$6:$AC$1000,5,0),"")</f>
        <v/>
      </c>
      <c r="F44" s="251" t="str">
        <f>IFERROR(VLOOKUP($C44,PoolPairs!$C$6:$AC$1000,11,0),"")</f>
        <v/>
      </c>
      <c r="G44" s="252">
        <f>IFERROR(VLOOKUP($C44,PoolPairs!$C$6:$AC$1000,15,0),0)</f>
        <v>0</v>
      </c>
      <c r="H44" s="309">
        <f>IFERROR(VLOOKUP($C44,PoolPairs!$C$6:$AC$1000,16,0),0)</f>
        <v>0</v>
      </c>
      <c r="I44" s="254" t="str">
        <f t="shared" si="9"/>
        <v/>
      </c>
      <c r="J44" s="310" t="str">
        <f>IFERROR(IF($E44="DUSD",1/VLOOKUP($F44,Prices!$F$6:$Q$1000,5,0),IF($F44="DUSD",VLOOKUP($E44,Prices!$F$6:$Q$1000,5,0),VLOOKUP($E44,Prices!$F$6:$Q$1000,5,0)/VLOOKUP($F44,Prices!$F$6:$Q$1000,5,0))),"")</f>
        <v/>
      </c>
      <c r="K44" s="311" t="str">
        <f t="shared" si="10"/>
        <v/>
      </c>
      <c r="L44" s="312" t="str">
        <f t="shared" si="11"/>
        <v/>
      </c>
      <c r="M44" s="227" t="str">
        <f>IFERROR(VLOOKUP($C44,PoolPairs!$C$6:$AC$1000,18,0),"")</f>
        <v/>
      </c>
      <c r="N44" s="313" t="str">
        <f>IFERROR(VLOOKUP($C44,PoolPairs!$C$6:$AC$1000,17,0),"")</f>
        <v/>
      </c>
      <c r="O44" s="317" t="str">
        <f>IFERROR(VLOOKUP(C44,PoolPairs!$C$6:$AC$1000,19,0),"")</f>
        <v/>
      </c>
      <c r="P44" s="384"/>
      <c r="Q44" s="305">
        <f>IFERROR(VLOOKUP(C44,Data1!$G$13:$K$32,5,0),"")</f>
        <v>2.7900000000000001E-2</v>
      </c>
      <c r="R44" s="161" t="str">
        <f t="shared" si="14"/>
        <v/>
      </c>
      <c r="S44" s="132" t="str">
        <f>IFERROR(VLOOKUP(C44,Address!$C$6:$J$1000,2,0),"")</f>
        <v/>
      </c>
      <c r="T44" s="75" t="str">
        <f t="shared" si="12"/>
        <v/>
      </c>
      <c r="U44" s="218" t="str">
        <f>IFERROR(R44*myLT!T44,"")</f>
        <v/>
      </c>
      <c r="V44" s="287" t="str">
        <f>IFERROR(U44*Data1!$C$15,"")</f>
        <v/>
      </c>
      <c r="W44" s="284" t="str">
        <f>IFERROR(IF(T44&lt;&gt;0,VLOOKUP($C44,PoolPairs!$C$6:$AC$1000,8,0)*T44,0),"")</f>
        <v/>
      </c>
      <c r="X44" s="165" t="str">
        <f>IFERROR(IF(AND(S44&lt;&gt;0,N44&lt;&gt;0),VLOOKUP($C44,PoolPairs!$C$6:$AC$1000,13,0)*T44,0),"")</f>
        <v/>
      </c>
      <c r="Y44" s="165" t="str">
        <f>IFERROR(IF(AND(W44&lt;&gt;"",X44&lt;&gt;"",H44&lt;&gt;""),W44*H44*(1-VLOOKUP($C44,PoolPairs!$C$6:$AC$1000,21,0))+X44,""),"")</f>
        <v/>
      </c>
      <c r="Z44" s="223" t="str">
        <f t="shared" si="13"/>
        <v/>
      </c>
      <c r="AA44" s="387"/>
      <c r="AB44" s="390"/>
      <c r="AC44" s="320"/>
      <c r="AE44" s="82"/>
      <c r="AF44" s="82"/>
    </row>
    <row r="45" spans="2:32" ht="13.5" customHeight="1" x14ac:dyDescent="0.2">
      <c r="B45" s="41"/>
      <c r="C45" s="38">
        <v>55</v>
      </c>
      <c r="D45" s="302" t="s">
        <v>184</v>
      </c>
      <c r="E45" s="212" t="str">
        <f>IFERROR(VLOOKUP($C45,PoolPairs!$C$6:$AC$1000,5,0),"")</f>
        <v/>
      </c>
      <c r="F45" s="207" t="str">
        <f>IFERROR(VLOOKUP($C45,PoolPairs!$C$6:$AC$1000,11,0),"")</f>
        <v/>
      </c>
      <c r="G45" s="177">
        <f>IFERROR(VLOOKUP($C45,PoolPairs!$C$6:$AC$1000,15,0),0)</f>
        <v>0</v>
      </c>
      <c r="H45" s="39">
        <f>IFERROR(VLOOKUP($C45,PoolPairs!$C$6:$AC$1000,16,0),0)</f>
        <v>0</v>
      </c>
      <c r="I45" s="163" t="str">
        <f t="shared" si="9"/>
        <v/>
      </c>
      <c r="J45" s="235" t="str">
        <f>IFERROR(IF($E45="DUSD",1/VLOOKUP($F45,Prices!$F$6:$Q$1000,5,0),IF($F45="DUSD",VLOOKUP($E45,Prices!$F$6:$Q$1000,5,0),VLOOKUP($E45,Prices!$F$6:$Q$1000,5,0)/VLOOKUP($F45,Prices!$F$6:$Q$1000,5,0))),"")</f>
        <v/>
      </c>
      <c r="K45" s="244" t="str">
        <f t="shared" si="10"/>
        <v/>
      </c>
      <c r="L45" s="245" t="str">
        <f t="shared" si="11"/>
        <v/>
      </c>
      <c r="M45" s="228" t="str">
        <f>IFERROR(VLOOKUP($C45,PoolPairs!$C$6:$AC$1000,18,0),"")</f>
        <v/>
      </c>
      <c r="N45" s="183" t="str">
        <f>IFERROR(VLOOKUP($C45,PoolPairs!$C$6:$AC$1000,17,0),"")</f>
        <v/>
      </c>
      <c r="O45" s="315" t="str">
        <f>IFERROR(VLOOKUP(C45,PoolPairs!$C$6:$AC$1000,19,0),"")</f>
        <v/>
      </c>
      <c r="P45" s="384"/>
      <c r="Q45" s="305">
        <f>IFERROR(VLOOKUP(C45,Data1!$G$13:$K$32,5,0),"")</f>
        <v>3.6799999999999999E-2</v>
      </c>
      <c r="R45" s="161" t="str">
        <f t="shared" si="14"/>
        <v/>
      </c>
      <c r="S45" s="132" t="str">
        <f>IFERROR(VLOOKUP(C45,Address!$C$6:$J$1000,2,0),"")</f>
        <v/>
      </c>
      <c r="T45" s="75" t="str">
        <f t="shared" si="12"/>
        <v/>
      </c>
      <c r="U45" s="218" t="str">
        <f>IFERROR(R45*myLT!T45,"")</f>
        <v/>
      </c>
      <c r="V45" s="287" t="str">
        <f>IFERROR(U45*Data1!$C$15,"")</f>
        <v/>
      </c>
      <c r="W45" s="284" t="str">
        <f>IFERROR(IF(T45&lt;&gt;0,VLOOKUP($C45,PoolPairs!$C$6:$AC$1000,8,0)*T45,0),"")</f>
        <v/>
      </c>
      <c r="X45" s="165" t="str">
        <f>IFERROR(IF(AND(S45&lt;&gt;0,N45&lt;&gt;0),VLOOKUP($C45,PoolPairs!$C$6:$AC$1000,13,0)*T45,0),"")</f>
        <v/>
      </c>
      <c r="Y45" s="165" t="str">
        <f>IFERROR(IF(AND(W45&lt;&gt;"",X45&lt;&gt;"",H45&lt;&gt;""),W45*H45*(1-VLOOKUP($C45,PoolPairs!$C$6:$AC$1000,21,0))+X45,""),"")</f>
        <v/>
      </c>
      <c r="Z45" s="223" t="str">
        <f t="shared" si="13"/>
        <v/>
      </c>
      <c r="AA45" s="387"/>
      <c r="AB45" s="390"/>
      <c r="AC45" s="320"/>
      <c r="AE45" s="82"/>
      <c r="AF45" s="82"/>
    </row>
    <row r="46" spans="2:32" ht="13.5" customHeight="1" x14ac:dyDescent="0.2">
      <c r="B46" s="41"/>
      <c r="C46" s="25">
        <v>56</v>
      </c>
      <c r="D46" s="301" t="s">
        <v>185</v>
      </c>
      <c r="E46" s="212" t="str">
        <f>IFERROR(VLOOKUP($C46,PoolPairs!$C$6:$AC$1000,5,0),"")</f>
        <v/>
      </c>
      <c r="F46" s="207" t="str">
        <f>IFERROR(VLOOKUP($C46,PoolPairs!$C$6:$AC$1000,11,0),"")</f>
        <v/>
      </c>
      <c r="G46" s="177">
        <f>IFERROR(VLOOKUP($C46,PoolPairs!$C$6:$AC$1000,15,0),0)</f>
        <v>0</v>
      </c>
      <c r="H46" s="37">
        <f>IFERROR(VLOOKUP($C46,PoolPairs!$C$6:$AC$1000,16,0),0)</f>
        <v>0</v>
      </c>
      <c r="I46" s="163" t="str">
        <f t="shared" si="9"/>
        <v/>
      </c>
      <c r="J46" s="233" t="str">
        <f>IFERROR(IF($E46="DUSD",1/VLOOKUP($F46,Prices!$F$6:$Q$1000,5,0),IF($F46="DUSD",VLOOKUP($E46,Prices!$F$6:$Q$1000,5,0),VLOOKUP($E46,Prices!$F$6:$Q$1000,5,0)/VLOOKUP($F46,Prices!$F$6:$Q$1000,5,0))),"")</f>
        <v/>
      </c>
      <c r="K46" s="242" t="str">
        <f t="shared" si="10"/>
        <v/>
      </c>
      <c r="L46" s="243" t="str">
        <f t="shared" si="11"/>
        <v/>
      </c>
      <c r="M46" s="228" t="str">
        <f>IFERROR(VLOOKUP($C46,PoolPairs!$C$6:$AC$1000,18,0),"")</f>
        <v/>
      </c>
      <c r="N46" s="181" t="str">
        <f>IFERROR(VLOOKUP($C46,PoolPairs!$C$6:$AC$1000,17,0),"")</f>
        <v/>
      </c>
      <c r="O46" s="316" t="str">
        <f>IFERROR(VLOOKUP(C46,PoolPairs!$C$6:$AC$1000,19,0),"")</f>
        <v/>
      </c>
      <c r="P46" s="384"/>
      <c r="Q46" s="305">
        <f>IFERROR(VLOOKUP(C46,Data1!$G$13:$K$32,5,0),"")</f>
        <v>2.8000000000000001E-2</v>
      </c>
      <c r="R46" s="161" t="str">
        <f t="shared" si="14"/>
        <v/>
      </c>
      <c r="S46" s="132" t="str">
        <f>IFERROR(VLOOKUP(C46,Address!$C$6:$J$1000,2,0),"")</f>
        <v/>
      </c>
      <c r="T46" s="75" t="str">
        <f t="shared" si="12"/>
        <v/>
      </c>
      <c r="U46" s="218" t="str">
        <f>IFERROR(R46*myLT!T46,"")</f>
        <v/>
      </c>
      <c r="V46" s="287" t="str">
        <f>IFERROR(U46*Data1!$C$15,"")</f>
        <v/>
      </c>
      <c r="W46" s="284" t="str">
        <f>IFERROR(IF(T46&lt;&gt;0,VLOOKUP($C46,PoolPairs!$C$6:$AC$1000,8,0)*T46,0),"")</f>
        <v/>
      </c>
      <c r="X46" s="165" t="str">
        <f>IFERROR(IF(AND(S46&lt;&gt;0,N46&lt;&gt;0),VLOOKUP($C46,PoolPairs!$C$6:$AC$1000,13,0)*T46,0),"")</f>
        <v/>
      </c>
      <c r="Y46" s="165" t="str">
        <f>IFERROR(IF(AND(W46&lt;&gt;"",X46&lt;&gt;"",H46&lt;&gt;""),W46*H46*(1-VLOOKUP($C46,PoolPairs!$C$6:$AC$1000,21,0))+X46,""),"")</f>
        <v/>
      </c>
      <c r="Z46" s="223" t="str">
        <f t="shared" si="13"/>
        <v/>
      </c>
      <c r="AA46" s="387"/>
      <c r="AB46" s="390"/>
      <c r="AC46" s="320"/>
      <c r="AE46" s="82"/>
      <c r="AF46" s="82"/>
    </row>
    <row r="47" spans="2:32" ht="13.5" customHeight="1" thickBot="1" x14ac:dyDescent="0.25">
      <c r="B47" s="170"/>
      <c r="C47" s="42">
        <v>53</v>
      </c>
      <c r="D47" s="303" t="s">
        <v>182</v>
      </c>
      <c r="E47" s="213" t="str">
        <f>IFERROR(VLOOKUP($C47,PoolPairs!$C$6:$AC$1000,5,0),"")</f>
        <v/>
      </c>
      <c r="F47" s="208" t="str">
        <f>IFERROR(VLOOKUP($C47,PoolPairs!$C$6:$AC$1000,11,0),"")</f>
        <v/>
      </c>
      <c r="G47" s="178">
        <f>IFERROR(VLOOKUP($C47,PoolPairs!$C$6:$AC$1000,15,0),0)</f>
        <v>0</v>
      </c>
      <c r="H47" s="172">
        <f>IFERROR(VLOOKUP($C47,PoolPairs!$C$6:$AC$1000,16,0),0)</f>
        <v>0</v>
      </c>
      <c r="I47" s="171" t="str">
        <f t="shared" si="9"/>
        <v/>
      </c>
      <c r="J47" s="234" t="str">
        <f>IFERROR(IF($E47="DUSD",1/VLOOKUP($F47,Prices!$F$6:$Q$1000,5,0),IF($F47="DUSD",VLOOKUP($E47,Prices!$F$6:$Q$1000,5,0),VLOOKUP($E47,Prices!$F$6:$Q$1000,5,0)/VLOOKUP($F47,Prices!$F$6:$Q$1000,5,0))),"")</f>
        <v/>
      </c>
      <c r="K47" s="246" t="str">
        <f t="shared" si="10"/>
        <v/>
      </c>
      <c r="L47" s="247" t="str">
        <f t="shared" si="11"/>
        <v/>
      </c>
      <c r="M47" s="229" t="str">
        <f>IFERROR(VLOOKUP($C47,PoolPairs!$C$6:$AC$1000,18,0),"")</f>
        <v/>
      </c>
      <c r="N47" s="182" t="str">
        <f>IFERROR(VLOOKUP($C47,PoolPairs!$C$6:$AC$1000,17,0),"")</f>
        <v/>
      </c>
      <c r="O47" s="318" t="str">
        <f>IFERROR(VLOOKUP(C47,PoolPairs!$C$6:$AC$1000,19,0),"")</f>
        <v/>
      </c>
      <c r="P47" s="385"/>
      <c r="Q47" s="306">
        <f>IFERROR(VLOOKUP(C47,Data1!$G$13:$K$32,5,0),"")</f>
        <v>1.0500000000000001E-2</v>
      </c>
      <c r="R47" s="162" t="str">
        <f t="shared" si="14"/>
        <v/>
      </c>
      <c r="S47" s="134" t="str">
        <f>IFERROR(VLOOKUP(C47,Address!$C$6:$J$1000,2,0),"")</f>
        <v/>
      </c>
      <c r="T47" s="76" t="str">
        <f t="shared" si="12"/>
        <v/>
      </c>
      <c r="U47" s="226" t="str">
        <f>IFERROR(R47*myLT!T47,"")</f>
        <v/>
      </c>
      <c r="V47" s="289" t="str">
        <f>IFERROR(U47*Data1!$C$15,"")</f>
        <v/>
      </c>
      <c r="W47" s="285" t="str">
        <f>IFERROR(IF(T47&lt;&gt;0,VLOOKUP($C47,PoolPairs!$C$6:$AC$1000,8,0)*T47,0),"")</f>
        <v/>
      </c>
      <c r="X47" s="45" t="str">
        <f>IFERROR(IF(AND(S47&lt;&gt;0,N47&lt;&gt;0),VLOOKUP($C47,PoolPairs!$C$6:$AC$1000,13,0)*T47,0),"")</f>
        <v/>
      </c>
      <c r="Y47" s="45" t="str">
        <f>IFERROR(IF(AND(W47&lt;&gt;"",X47&lt;&gt;"",H47&lt;&gt;""),W47*H47*(1-VLOOKUP($C47,PoolPairs!$C$6:$AC$1000,21,0))+X47,""),"")</f>
        <v/>
      </c>
      <c r="Z47" s="224" t="str">
        <f t="shared" si="13"/>
        <v/>
      </c>
      <c r="AA47" s="388"/>
      <c r="AB47" s="391"/>
      <c r="AC47" s="320"/>
    </row>
    <row r="48" spans="2:32" ht="13.5" customHeight="1" x14ac:dyDescent="0.2"/>
    <row r="49" spans="24:31" ht="13.5" customHeight="1" x14ac:dyDescent="0.2">
      <c r="X49" s="98"/>
      <c r="AE49" s="2"/>
    </row>
    <row r="50" spans="24:31" ht="12.75" customHeight="1" x14ac:dyDescent="0.2">
      <c r="AE50" s="2"/>
    </row>
    <row r="51" spans="24:31" ht="12.75" customHeight="1" x14ac:dyDescent="0.2">
      <c r="AE51" s="2"/>
    </row>
    <row r="52" spans="24:31" ht="12.75" customHeight="1" x14ac:dyDescent="0.2">
      <c r="AE52" s="2"/>
    </row>
    <row r="53" spans="24:31" ht="12.75" customHeight="1" x14ac:dyDescent="0.2"/>
  </sheetData>
  <mergeCells count="36">
    <mergeCell ref="L17:M17"/>
    <mergeCell ref="P19:R19"/>
    <mergeCell ref="S19:AB19"/>
    <mergeCell ref="O19:O20"/>
    <mergeCell ref="M19:M20"/>
    <mergeCell ref="N19:N20"/>
    <mergeCell ref="K19:L20"/>
    <mergeCell ref="B18:E19"/>
    <mergeCell ref="Y20:AB20"/>
    <mergeCell ref="G19:H19"/>
    <mergeCell ref="I19:J19"/>
    <mergeCell ref="P21:P27"/>
    <mergeCell ref="B20:C20"/>
    <mergeCell ref="AA21:AB28"/>
    <mergeCell ref="P28:P47"/>
    <mergeCell ref="AA29:AA47"/>
    <mergeCell ref="AB29:AB47"/>
    <mergeCell ref="M5:N5"/>
    <mergeCell ref="C9:E9"/>
    <mergeCell ref="C7:E7"/>
    <mergeCell ref="B2:D2"/>
    <mergeCell ref="B3:D3"/>
    <mergeCell ref="E4:I4"/>
    <mergeCell ref="E3:I3"/>
    <mergeCell ref="B4:D4"/>
    <mergeCell ref="H7:I8"/>
    <mergeCell ref="H9:I10"/>
    <mergeCell ref="L7:N7"/>
    <mergeCell ref="C8:E8"/>
    <mergeCell ref="C10:E10"/>
    <mergeCell ref="H11:I12"/>
    <mergeCell ref="H13:I14"/>
    <mergeCell ref="C11:E11"/>
    <mergeCell ref="C12:E12"/>
    <mergeCell ref="C13:E13"/>
    <mergeCell ref="C14:E14"/>
  </mergeCells>
  <conditionalFormatting sqref="B21:J43 M21:W28 M29:O43 Q29:W47">
    <cfRule type="expression" dxfId="6" priority="18">
      <formula>IF($S21&lt;&gt;"",0,1)</formula>
    </cfRule>
  </conditionalFormatting>
  <conditionalFormatting sqref="L21:L27">
    <cfRule type="dataBar" priority="10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{DD970DA1-C4C0-4A72-9B75-EFCA446506AD}</x14:id>
        </ext>
      </extLst>
    </cfRule>
  </conditionalFormatting>
  <conditionalFormatting sqref="L28:L43">
    <cfRule type="dataBar" priority="9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{4C27274A-3F00-44B7-85FF-E66BE27C8686}</x14:id>
        </ext>
      </extLst>
    </cfRule>
  </conditionalFormatting>
  <conditionalFormatting sqref="K21:K43">
    <cfRule type="expression" dxfId="37" priority="5">
      <formula>IF(AND($K21&lt;&gt;"",$K21&gt;1),1,0)</formula>
    </cfRule>
    <cfRule type="expression" dxfId="36" priority="6">
      <formula>IF(AND($K21&lt;&gt;"",$K21&lt;1),1,0)</formula>
    </cfRule>
  </conditionalFormatting>
  <conditionalFormatting sqref="B44:J47 M44:O47">
    <cfRule type="expression" dxfId="35" priority="4">
      <formula>IF($S44&lt;&gt;"",0,1)</formula>
    </cfRule>
  </conditionalFormatting>
  <conditionalFormatting sqref="L44:L47">
    <cfRule type="dataBar" priority="3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{49A67342-59B6-40AB-9C7F-A433962CBAD9}</x14:id>
        </ext>
      </extLst>
    </cfRule>
  </conditionalFormatting>
  <conditionalFormatting sqref="K44:K47">
    <cfRule type="expression" dxfId="34" priority="1">
      <formula>IF(AND($K44&lt;&gt;"",$K44&gt;1),1,0)</formula>
    </cfRule>
    <cfRule type="expression" dxfId="33" priority="2">
      <formula>IF(AND($K44&lt;&gt;"",$K44&lt;1),1,0)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970DA1-C4C0-4A72-9B75-EFCA446506AD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L21:L27</xm:sqref>
        </x14:conditionalFormatting>
        <x14:conditionalFormatting xmlns:xm="http://schemas.microsoft.com/office/excel/2006/main">
          <x14:cfRule type="dataBar" id="{4C27274A-3F00-44B7-85FF-E66BE27C8686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L28:L43</xm:sqref>
        </x14:conditionalFormatting>
        <x14:conditionalFormatting xmlns:xm="http://schemas.microsoft.com/office/excel/2006/main">
          <x14:cfRule type="dataBar" id="{49A67342-59B6-40AB-9C7F-A433962CBAD9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L44:L47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Data1!$B$3:$B$9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92D050"/>
  </sheetPr>
  <dimension ref="B2:P29"/>
  <sheetViews>
    <sheetView workbookViewId="0"/>
  </sheetViews>
  <sheetFormatPr baseColWidth="10" defaultRowHeight="12.75" x14ac:dyDescent="0.2"/>
  <cols>
    <col min="2" max="2" width="15.7109375" bestFit="1" customWidth="1"/>
    <col min="3" max="3" width="18.42578125" bestFit="1" customWidth="1"/>
    <col min="4" max="5" width="14.7109375" bestFit="1" customWidth="1"/>
    <col min="6" max="6" width="2.140625" customWidth="1"/>
    <col min="7" max="7" width="7.85546875" bestFit="1" customWidth="1"/>
    <col min="8" max="8" width="16.42578125" bestFit="1" customWidth="1"/>
    <col min="9" max="9" width="13.7109375" customWidth="1"/>
    <col min="10" max="10" width="16.42578125" bestFit="1" customWidth="1"/>
    <col min="11" max="11" width="12.28515625" bestFit="1" customWidth="1"/>
    <col min="12" max="12" width="10.28515625" bestFit="1" customWidth="1"/>
    <col min="13" max="13" width="9.7109375" bestFit="1" customWidth="1"/>
    <col min="14" max="14" width="8.28515625" bestFit="1" customWidth="1"/>
    <col min="15" max="15" width="10.7109375" bestFit="1" customWidth="1"/>
    <col min="16" max="16" width="5.5703125" customWidth="1"/>
    <col min="17" max="17" width="15.140625" bestFit="1" customWidth="1"/>
    <col min="18" max="18" width="14.28515625" bestFit="1" customWidth="1"/>
    <col min="19" max="19" width="8.28515625" bestFit="1" customWidth="1"/>
    <col min="20" max="20" width="9.85546875" bestFit="1" customWidth="1"/>
  </cols>
  <sheetData>
    <row r="2" spans="2:16" x14ac:dyDescent="0.2">
      <c r="N2" s="410" t="str">
        <f>IFERROR(VLOOKUP("DFI",Prices!$F$6:$Q$1000,5,0),"")</f>
        <v/>
      </c>
      <c r="O2" s="410"/>
    </row>
    <row r="3" spans="2:16" x14ac:dyDescent="0.2">
      <c r="L3" s="12"/>
      <c r="M3" s="12"/>
      <c r="N3" s="411" t="str">
        <f>IFERROR(VLOOKUP("BTC",Prices!$F$6:$Q$1000,5,0),"")</f>
        <v/>
      </c>
      <c r="O3" s="411"/>
    </row>
    <row r="4" spans="2:16" ht="12.75" customHeight="1" x14ac:dyDescent="0.2"/>
    <row r="5" spans="2:16" ht="13.5" customHeight="1" x14ac:dyDescent="0.2">
      <c r="B5" s="422" t="str">
        <f>IFERROR(HYPERLINK(Vaults!$C$4),"")</f>
        <v/>
      </c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</row>
    <row r="6" spans="2:16" ht="12.75" customHeight="1" x14ac:dyDescent="0.2">
      <c r="B6" s="420" t="s">
        <v>91</v>
      </c>
      <c r="C6" s="420"/>
      <c r="D6" s="420"/>
      <c r="E6" s="420"/>
      <c r="F6" s="298"/>
      <c r="G6" s="414" t="s">
        <v>92</v>
      </c>
      <c r="H6" s="415"/>
      <c r="I6" s="415"/>
      <c r="J6" s="415"/>
      <c r="K6" s="415"/>
      <c r="L6" s="415"/>
      <c r="M6" s="415"/>
      <c r="N6" s="415"/>
      <c r="O6" s="416"/>
    </row>
    <row r="7" spans="2:16" ht="13.5" customHeight="1" x14ac:dyDescent="0.2">
      <c r="B7" s="420"/>
      <c r="C7" s="420"/>
      <c r="D7" s="420"/>
      <c r="E7" s="420"/>
      <c r="F7" s="298"/>
      <c r="G7" s="417"/>
      <c r="H7" s="418"/>
      <c r="I7" s="418"/>
      <c r="J7" s="418"/>
      <c r="K7" s="418"/>
      <c r="L7" s="418"/>
      <c r="M7" s="418"/>
      <c r="N7" s="418"/>
      <c r="O7" s="419"/>
    </row>
    <row r="8" spans="2:16" x14ac:dyDescent="0.2">
      <c r="B8" s="48" t="s">
        <v>15</v>
      </c>
      <c r="C8" s="49" t="s">
        <v>53</v>
      </c>
      <c r="D8" s="50" t="s">
        <v>54</v>
      </c>
      <c r="E8" s="50" t="s">
        <v>55</v>
      </c>
      <c r="F8" s="298"/>
      <c r="G8" s="122" t="s">
        <v>20</v>
      </c>
      <c r="H8" s="122" t="s">
        <v>93</v>
      </c>
      <c r="I8" s="122" t="s">
        <v>107</v>
      </c>
      <c r="J8" s="122" t="s">
        <v>132</v>
      </c>
      <c r="K8" s="122" t="s">
        <v>95</v>
      </c>
      <c r="L8" s="122" t="s">
        <v>29</v>
      </c>
      <c r="M8" s="122" t="s">
        <v>96</v>
      </c>
      <c r="N8" s="122" t="s">
        <v>15</v>
      </c>
      <c r="O8" s="122" t="s">
        <v>99</v>
      </c>
    </row>
    <row r="9" spans="2:16" x14ac:dyDescent="0.2">
      <c r="B9" s="152"/>
      <c r="C9" s="152"/>
      <c r="D9" s="152"/>
      <c r="E9" s="152"/>
      <c r="F9" s="298"/>
      <c r="G9" s="154" t="str">
        <f>IFERROR(IF(Vaults!$C$42&lt;&gt;"",Vaults!$C$42,""),"")</f>
        <v/>
      </c>
      <c r="H9" s="153">
        <f>IFERROR(Vaults!$C$43,"")</f>
        <v>0</v>
      </c>
      <c r="I9" s="153">
        <f>IFERROR(Vaults!$C$44,"")</f>
        <v>0</v>
      </c>
      <c r="J9" s="153">
        <f>IFERROR(H9-I9,"")</f>
        <v>0</v>
      </c>
      <c r="K9" s="53" t="str">
        <f>IFERROR(IF(AND(G9&lt;&gt;"",H9&lt;&gt;""),IF(G9&lt;&gt;"DUSD",VLOOKUP(VLOOKUP(G9,tableLoanIdx[],2,0),PoolPairs!$I$6:$AC$1000,10,0),1),""),"")</f>
        <v/>
      </c>
      <c r="L9" s="54" t="str">
        <f>IFERROR(IF(AND(G9&lt;&gt;"",H9&lt;&gt;""),K9*H9*(1+VLOOKUP(VLOOKUP(G9,tableLoanIdx[],2,0),PoolPairs!$I$6:$AC$1000,15,0)),""),"")</f>
        <v/>
      </c>
      <c r="M9" s="63" t="str">
        <f>IFERROR(IF(L9&lt;&gt;"",1/VLOOKUP(VLOOKUP($L$8,tableLoanIdx[],2,0),PoolPairs!$I$6:$AC$1000,10,0),""),"")</f>
        <v/>
      </c>
      <c r="N9" s="55" t="str">
        <f>IF(AND(L9&lt;&gt;"",$M$9&lt;&gt;""),L9/M9*(1+VLOOKUP(VLOOKUP(G9,tableLoanIdx[],2,0),PoolPairs!$I$6:$AC$1000,15,0)),"")</f>
        <v/>
      </c>
      <c r="O9" s="87" t="str">
        <f>IFERROR(IF(AND(G9&lt;&gt;"",H9&lt;&gt;""),IF(G9="DUSD",H9,H9*VLOOKUP(G9,Prices!$F$6:$Q$1000,5,0)),""),"")</f>
        <v/>
      </c>
      <c r="P9" s="85"/>
    </row>
    <row r="10" spans="2:16" x14ac:dyDescent="0.2">
      <c r="B10" s="121" t="str">
        <f>IFERROR(B12/$B$15,"")</f>
        <v/>
      </c>
      <c r="C10" s="121" t="str">
        <f>IFERROR(C12/$B$15,"")</f>
        <v/>
      </c>
      <c r="D10" s="121" t="str">
        <f>IFERROR(D12/$B$15,"")</f>
        <v/>
      </c>
      <c r="E10" s="121" t="str">
        <f>IFERROR(E12/$B$15,"")</f>
        <v/>
      </c>
      <c r="F10" s="298"/>
      <c r="G10" s="154" t="str">
        <f>IFERROR(IF(Vaults!$C$49&lt;&gt;"",Vaults!$C$49,""),"")</f>
        <v/>
      </c>
      <c r="H10" s="153">
        <f>IFERROR(Vaults!$C$50,"")</f>
        <v>0</v>
      </c>
      <c r="I10" s="153">
        <f>IFERROR(Vaults!$C$51,"")</f>
        <v>0</v>
      </c>
      <c r="J10" s="153">
        <f t="shared" ref="J10:J24" si="0">IFERROR(H10-I10,"")</f>
        <v>0</v>
      </c>
      <c r="K10" s="53" t="str">
        <f>IFERROR(IF(AND(G10&lt;&gt;"",H10&lt;&gt;""),IF(G10&lt;&gt;"DUSD",VLOOKUP(VLOOKUP(G10,tableLoanIdx[],2,0),PoolPairs!$I$6:$AC$1000,10,0),1),""),"")</f>
        <v/>
      </c>
      <c r="L10" s="54" t="str">
        <f>IFERROR(IF(AND(G10&lt;&gt;"",H10&lt;&gt;""),K10*H10*(1+VLOOKUP(VLOOKUP(G10,tableLoanIdx[],2,0),PoolPairs!$I$6:$AC$1000,15,0)),""),"")</f>
        <v/>
      </c>
      <c r="M10" s="63" t="str">
        <f>IFERROR(IF(L10&lt;&gt;"",1/VLOOKUP(VLOOKUP($L$8,tableLoanIdx[],2,0),PoolPairs!$I$6:$AC$1000,10,0),""),"")</f>
        <v/>
      </c>
      <c r="N10" s="55" t="str">
        <f>IF(AND(L10&lt;&gt;"",$M$9&lt;&gt;""),L10/M10*(1+VLOOKUP(VLOOKUP(G10,tableLoanIdx[],2,0),PoolPairs!$I$6:$AC$1000,15,0)),"")</f>
        <v/>
      </c>
      <c r="O10" s="87" t="str">
        <f>IFERROR(IF(AND(G10&lt;&gt;"",H10&lt;&gt;""),IF(G10="DUSD",H10,H10*VLOOKUP(G10,Prices!$F$6:$Q$1000,5,0)),""),"")</f>
        <v/>
      </c>
    </row>
    <row r="11" spans="2:16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  <c r="F11" s="298"/>
      <c r="G11" s="154" t="str">
        <f>IFERROR(IF(Vaults!$C$56&lt;&gt;"",Vaults!$C$56,""),"")</f>
        <v/>
      </c>
      <c r="H11" s="153">
        <f>IFERROR(Vaults!$C$57,"")</f>
        <v>0</v>
      </c>
      <c r="I11" s="153">
        <f>IFERROR(Vaults!$C$58,"")</f>
        <v>0</v>
      </c>
      <c r="J11" s="153">
        <f t="shared" si="0"/>
        <v>0</v>
      </c>
      <c r="K11" s="53" t="str">
        <f>IFERROR(IF(AND(G11&lt;&gt;"",H11&lt;&gt;""),IF(G11&lt;&gt;"DUSD",VLOOKUP(VLOOKUP(G11,tableLoanIdx[],2,0),PoolPairs!$I$6:$AC$1000,10,0),1),""),"")</f>
        <v/>
      </c>
      <c r="L11" s="54" t="str">
        <f>IFERROR(IF(AND(G11&lt;&gt;"",H11&lt;&gt;""),K11*H11*(1+VLOOKUP(VLOOKUP(G11,tableLoanIdx[],2,0),PoolPairs!$I$6:$AC$1000,15,0)),""),"")</f>
        <v/>
      </c>
      <c r="M11" s="63" t="str">
        <f>IFERROR(IF(L11&lt;&gt;"",1/VLOOKUP(VLOOKUP($L$8,tableLoanIdx[],2,0),PoolPairs!$I$6:$AC$1000,10,0),""),"")</f>
        <v/>
      </c>
      <c r="N11" s="55" t="str">
        <f>IF(AND(L11&lt;&gt;"",$M$9&lt;&gt;""),L11/M11*(1+VLOOKUP(VLOOKUP(G11,tableLoanIdx[],2,0),PoolPairs!$I$6:$AC$1000,15,0)),"")</f>
        <v/>
      </c>
      <c r="O11" s="87" t="str">
        <f>IFERROR(IF(AND(G11&lt;&gt;"",H11&lt;&gt;""),IF(G11="DUSD",H11,H11*VLOOKUP(G11,Prices!$F$6:$Q$1000,5,0)),""),"")</f>
        <v/>
      </c>
    </row>
    <row r="12" spans="2:16" x14ac:dyDescent="0.2">
      <c r="B12" s="86" t="str">
        <f>IFERROR(IF(B11&lt;&gt;"",B11*$N$2,""),"")</f>
        <v/>
      </c>
      <c r="C12" s="86" t="str">
        <f>IFERROR(IF(C11&lt;&gt;"",C11*$N$2,""),"")</f>
        <v/>
      </c>
      <c r="D12" s="86" t="str">
        <f>IFERROR(IF(D11&lt;&gt;"",D11*$N$2,""),"")</f>
        <v/>
      </c>
      <c r="E12" s="86" t="str">
        <f>IFERROR(IF(E11&lt;&gt;"",E11*$N$2,""),"")</f>
        <v/>
      </c>
      <c r="F12" s="298"/>
      <c r="G12" s="154" t="str">
        <f>IFERROR(IF(Vaults!$C$63&lt;&gt;"",Vaults!$C$63,""),"")</f>
        <v/>
      </c>
      <c r="H12" s="153">
        <f>IFERROR(Vaults!$C$64,"")</f>
        <v>0</v>
      </c>
      <c r="I12" s="153">
        <f>IFERROR(Vaults!$C$65,"")</f>
        <v>0</v>
      </c>
      <c r="J12" s="153">
        <f t="shared" si="0"/>
        <v>0</v>
      </c>
      <c r="K12" s="53" t="str">
        <f>IFERROR(IF(AND(G12&lt;&gt;"",H12&lt;&gt;""),IF(G12&lt;&gt;"DUSD",VLOOKUP(VLOOKUP(G12,tableLoanIdx[],2,0),PoolPairs!$I$6:$AC$1000,10,0),1),""),"")</f>
        <v/>
      </c>
      <c r="L12" s="54" t="str">
        <f>IFERROR(IF(AND(G12&lt;&gt;"",H12&lt;&gt;""),K12*H12*(1+VLOOKUP(VLOOKUP(G12,tableLoanIdx[],2,0),PoolPairs!$I$6:$AC$1000,15,0)),""),"")</f>
        <v/>
      </c>
      <c r="M12" s="63" t="str">
        <f>IFERROR(IF(L12&lt;&gt;"",1/VLOOKUP(VLOOKUP($L$8,tableLoanIdx[],2,0),PoolPairs!$I$6:$AC$1000,10,0),""),"")</f>
        <v/>
      </c>
      <c r="N12" s="55" t="str">
        <f>IF(AND(L12&lt;&gt;"",$M$9&lt;&gt;""),L12/M12*(1+VLOOKUP(VLOOKUP(G12,tableLoanIdx[],2,0),PoolPairs!$I$6:$AC$1000,15,0)),"")</f>
        <v/>
      </c>
      <c r="O12" s="87" t="str">
        <f>IFERROR(IF(AND(G12&lt;&gt;"",H12&lt;&gt;""),IF(G12="DUSD",H12,H12*VLOOKUP(G12,Prices!$F$6:$Q$1000,5,0)),""),"")</f>
        <v/>
      </c>
    </row>
    <row r="13" spans="2:16" ht="18" x14ac:dyDescent="0.2">
      <c r="B13" s="421">
        <f>SUM(B11:E11)</f>
        <v>0</v>
      </c>
      <c r="C13" s="421"/>
      <c r="D13" s="421"/>
      <c r="E13" s="421"/>
      <c r="F13" s="298"/>
      <c r="G13" s="154" t="str">
        <f>IFERROR(IF(Vaults!$C$70&lt;&gt;"",Vaults!$C$70,""),"")</f>
        <v/>
      </c>
      <c r="H13" s="153">
        <f>IFERROR(Vaults!$C$71,"")</f>
        <v>0</v>
      </c>
      <c r="I13" s="153">
        <f>IFERROR(Vaults!$C$72,"")</f>
        <v>0</v>
      </c>
      <c r="J13" s="153">
        <f t="shared" si="0"/>
        <v>0</v>
      </c>
      <c r="K13" s="53" t="str">
        <f>IFERROR(IF(AND(G13&lt;&gt;"",H13&lt;&gt;""),IF(G13&lt;&gt;"DUSD",VLOOKUP(VLOOKUP(G13,tableLoanIdx[],2,0),PoolPairs!$I$6:$AC$1000,10,0),1),""),"")</f>
        <v/>
      </c>
      <c r="L13" s="54" t="str">
        <f>IFERROR(IF(AND(G13&lt;&gt;"",H13&lt;&gt;""),K13*H13*(1+VLOOKUP(VLOOKUP(G13,tableLoanIdx[],2,0),PoolPairs!$I$6:$AC$1000,15,0)),""),"")</f>
        <v/>
      </c>
      <c r="M13" s="63" t="str">
        <f>IFERROR(IF(L13&lt;&gt;"",1/VLOOKUP(VLOOKUP($L$8,tableLoanIdx[],2,0),PoolPairs!$I$6:$AC$1000,10,0),""),"")</f>
        <v/>
      </c>
      <c r="N13" s="55" t="str">
        <f>IF(AND(L13&lt;&gt;"",$M$9&lt;&gt;""),L13/M13*(1+VLOOKUP(VLOOKUP(G13,tableLoanIdx[],2,0),PoolPairs!$I$6:$AC$1000,15,0)),"")</f>
        <v/>
      </c>
      <c r="O13" s="87" t="str">
        <f>IFERROR(IF(AND(G13&lt;&gt;"",H13&lt;&gt;""),IF(G13="DUSD",H13,H13*VLOOKUP(G13,Prices!$F$6:$Q$1000,5,0)),""),"")</f>
        <v/>
      </c>
    </row>
    <row r="14" spans="2:16" ht="18" x14ac:dyDescent="0.2">
      <c r="B14" s="412" t="str">
        <f>IF(AND(B13&lt;&gt;"",M9&lt;&gt;""),B13*M9*(1-VLOOKUP(VLOOKUP($L$8,Data1!$Q$3:$R$19,2,0),PoolPairs!$I$6:$AC$1000,15,0)),"")</f>
        <v/>
      </c>
      <c r="C14" s="412"/>
      <c r="D14" s="412"/>
      <c r="E14" s="412"/>
      <c r="F14" s="298"/>
      <c r="G14" s="154" t="str">
        <f>IFERROR(IF(Vaults!$C$77&lt;&gt;"",Vaults!$C$77,""),"")</f>
        <v/>
      </c>
      <c r="H14" s="153">
        <f>IFERROR(Vaults!$C$78,"")</f>
        <v>0</v>
      </c>
      <c r="I14" s="153">
        <f>IFERROR(Vaults!$C$79,"")</f>
        <v>0</v>
      </c>
      <c r="J14" s="153">
        <f t="shared" si="0"/>
        <v>0</v>
      </c>
      <c r="K14" s="53" t="str">
        <f>IFERROR(IF(AND(G14&lt;&gt;"",H14&lt;&gt;""),IF(G14&lt;&gt;"DUSD",VLOOKUP(VLOOKUP(G14,tableLoanIdx[],2,0),PoolPairs!$I$6:$AC$1000,10,0),1),""),"")</f>
        <v/>
      </c>
      <c r="L14" s="54" t="str">
        <f>IFERROR(IF(AND(G14&lt;&gt;"",H14&lt;&gt;""),K14*H14*(1+VLOOKUP(VLOOKUP(G14,tableLoanIdx[],2,0),PoolPairs!$I$6:$AC$1000,15,0)),""),"")</f>
        <v/>
      </c>
      <c r="M14" s="63" t="str">
        <f>IFERROR(IF(L14&lt;&gt;"",1/VLOOKUP(VLOOKUP($L$8,tableLoanIdx[],2,0),PoolPairs!$I$6:$AC$1000,10,0),""),"")</f>
        <v/>
      </c>
      <c r="N14" s="55" t="str">
        <f>IF(AND(L14&lt;&gt;"",$M$9&lt;&gt;""),L14/M14*(1+VLOOKUP(VLOOKUP(G14,tableLoanIdx[],2,0),PoolPairs!$I$6:$AC$1000,15,0)),"")</f>
        <v/>
      </c>
      <c r="O14" s="87" t="str">
        <f>IFERROR(IF(AND(G14&lt;&gt;"",H14&lt;&gt;""),IF(G14="DUSD",H14,H14*VLOOKUP(G14,Prices!$F$6:$Q$1000,5,0)),""),"")</f>
        <v/>
      </c>
    </row>
    <row r="15" spans="2:16" ht="18" x14ac:dyDescent="0.2">
      <c r="B15" s="413" t="str">
        <f>IFERROR(B13*$N$2,"")</f>
        <v/>
      </c>
      <c r="C15" s="413"/>
      <c r="D15" s="413"/>
      <c r="E15" s="413"/>
      <c r="F15" s="298"/>
      <c r="G15" s="154" t="str">
        <f>IFERROR(IF(Vaults!$C$84&lt;&gt;"",Vaults!$C$84,""),"")</f>
        <v/>
      </c>
      <c r="H15" s="153">
        <f>IFERROR(Vaults!$C$85,"")</f>
        <v>0</v>
      </c>
      <c r="I15" s="153">
        <f>IFERROR(Vaults!$C$86,"")</f>
        <v>0</v>
      </c>
      <c r="J15" s="153">
        <f t="shared" si="0"/>
        <v>0</v>
      </c>
      <c r="K15" s="53" t="str">
        <f>IFERROR(IF(AND(G15&lt;&gt;"",H15&lt;&gt;""),IF(G15&lt;&gt;"DUSD",VLOOKUP(VLOOKUP(G15,tableLoanIdx[],2,0),PoolPairs!$I$6:$AC$1000,10,0),1),""),"")</f>
        <v/>
      </c>
      <c r="L15" s="54" t="str">
        <f>IFERROR(IF(AND(G15&lt;&gt;"",H15&lt;&gt;""),K15*H15*(1+VLOOKUP(VLOOKUP(G15,tableLoanIdx[],2,0),PoolPairs!$I$6:$AC$1000,15,0)),""),"")</f>
        <v/>
      </c>
      <c r="M15" s="63" t="str">
        <f>IFERROR(IF(L15&lt;&gt;"",1/VLOOKUP(VLOOKUP($L$8,tableLoanIdx[],2,0),PoolPairs!$I$6:$AC$1000,10,0),""),"")</f>
        <v/>
      </c>
      <c r="N15" s="55" t="str">
        <f>IF(AND(L15&lt;&gt;"",$M$9&lt;&gt;""),L15/M15*(1+VLOOKUP(VLOOKUP(G15,tableLoanIdx[],2,0),PoolPairs!$I$6:$AC$1000,15,0)),"")</f>
        <v/>
      </c>
      <c r="O15" s="87" t="str">
        <f>IFERROR(IF(AND(G15&lt;&gt;"",H15&lt;&gt;""),IF(G15="DUSD",H15,H15*VLOOKUP(G15,Prices!$F$6:$Q$1000,5,0)),""),"")</f>
        <v/>
      </c>
    </row>
    <row r="16" spans="2:16" x14ac:dyDescent="0.2">
      <c r="B16" s="300"/>
      <c r="C16" s="298"/>
      <c r="D16" s="298"/>
      <c r="E16" s="298"/>
      <c r="F16" s="298"/>
      <c r="G16" s="154" t="str">
        <f>IFERROR(IF(Vaults!$C$91&lt;&gt;"",Vaults!$C$91,""),"")</f>
        <v/>
      </c>
      <c r="H16" s="153">
        <f>IFERROR(Vaults!$C$92,"")</f>
        <v>0</v>
      </c>
      <c r="I16" s="153">
        <f>IFERROR(Vaults!$C$93,"")</f>
        <v>0</v>
      </c>
      <c r="J16" s="153">
        <f t="shared" si="0"/>
        <v>0</v>
      </c>
      <c r="K16" s="53" t="str">
        <f>IFERROR(IF(AND(G16&lt;&gt;"",H16&lt;&gt;""),IF(G16&lt;&gt;"DUSD",VLOOKUP(VLOOKUP(G16,tableLoanIdx[],2,0),PoolPairs!$I$6:$AC$1000,10,0),1),""),"")</f>
        <v/>
      </c>
      <c r="L16" s="54" t="str">
        <f>IFERROR(IF(AND(G16&lt;&gt;"",H16&lt;&gt;""),K16*H16*(1+VLOOKUP(VLOOKUP(G16,tableLoanIdx[],2,0),PoolPairs!$I$6:$AC$1000,15,0)),""),"")</f>
        <v/>
      </c>
      <c r="M16" s="63" t="str">
        <f>IFERROR(IF(L16&lt;&gt;"",1/VLOOKUP(VLOOKUP($L$8,tableLoanIdx[],2,0),PoolPairs!$I$6:$AC$1000,10,0),""),"")</f>
        <v/>
      </c>
      <c r="N16" s="55" t="str">
        <f>IF(AND(L16&lt;&gt;"",$M$9&lt;&gt;""),L16/M16*(1+VLOOKUP(VLOOKUP(G16,tableLoanIdx[],2,0),PoolPairs!$I$6:$AC$1000,15,0)),"")</f>
        <v/>
      </c>
      <c r="O16" s="87" t="str">
        <f>IFERROR(IF(AND(G16&lt;&gt;"",H16&lt;&gt;""),IF(G16="DUSD",H16,H16*VLOOKUP(G16,Prices!$F$6:$Q$1000,5,0)),""),"")</f>
        <v/>
      </c>
    </row>
    <row r="17" spans="2:15" x14ac:dyDescent="0.2">
      <c r="B17" s="300"/>
      <c r="C17" s="298"/>
      <c r="D17" s="298"/>
      <c r="E17" s="298"/>
      <c r="F17" s="298"/>
      <c r="G17" s="154" t="str">
        <f>IFERROR(IF(Vaults!$C$98&lt;&gt;"",Vaults!$C$98,""),"")</f>
        <v/>
      </c>
      <c r="H17" s="153">
        <f>IFERROR(Vaults!$C$99,"")</f>
        <v>0</v>
      </c>
      <c r="I17" s="153">
        <f>IFERROR(Vaults!$C$100,"")</f>
        <v>0</v>
      </c>
      <c r="J17" s="153">
        <f t="shared" si="0"/>
        <v>0</v>
      </c>
      <c r="K17" s="53" t="str">
        <f>IFERROR(IF(AND(G17&lt;&gt;"",H17&lt;&gt;""),IF(G17&lt;&gt;"DUSD",VLOOKUP(VLOOKUP(G17,tableLoanIdx[],2,0),PoolPairs!$I$6:$AC$1000,10,0),1),""),"")</f>
        <v/>
      </c>
      <c r="L17" s="54" t="str">
        <f>IFERROR(IF(AND(G17&lt;&gt;"",H17&lt;&gt;""),K17*H17*(1+VLOOKUP(VLOOKUP(G17,tableLoanIdx[],2,0),PoolPairs!$I$6:$AC$1000,15,0)),""),"")</f>
        <v/>
      </c>
      <c r="M17" s="63" t="str">
        <f>IFERROR(IF(L17&lt;&gt;"",1/VLOOKUP(VLOOKUP($L$8,tableLoanIdx[],2,0),PoolPairs!$I$6:$AC$1000,10,0),""),"")</f>
        <v/>
      </c>
      <c r="N17" s="55" t="str">
        <f>IF(AND(L17&lt;&gt;"",$M$9&lt;&gt;""),L17/M17*(1+VLOOKUP(VLOOKUP(G17,tableLoanIdx[],2,0),PoolPairs!$I$6:$AC$1000,15,0)),"")</f>
        <v/>
      </c>
      <c r="O17" s="87" t="str">
        <f>IFERROR(IF(AND(G17&lt;&gt;"",H17&lt;&gt;""),IF(G17="DUSD",H17,H17*VLOOKUP(G17,Prices!$F$6:$Q$1000,5,0)),""),"")</f>
        <v/>
      </c>
    </row>
    <row r="18" spans="2:15" x14ac:dyDescent="0.2">
      <c r="B18" s="89" t="s">
        <v>106</v>
      </c>
      <c r="C18" s="92">
        <f>IFERROR(Vaults!$C$8/100,"")</f>
        <v>0</v>
      </c>
      <c r="D18" s="298"/>
      <c r="E18" s="298"/>
      <c r="F18" s="298"/>
      <c r="G18" s="154" t="str">
        <f>IFERROR(IF(Vaults!$C$105&lt;&gt;"",Vaults!$C$105,""),"")</f>
        <v/>
      </c>
      <c r="H18" s="153">
        <f>IFERROR(Vaults!$C$106,"")</f>
        <v>0</v>
      </c>
      <c r="I18" s="153">
        <f>IFERROR(Vaults!$C$107,"")</f>
        <v>0</v>
      </c>
      <c r="J18" s="153">
        <f t="shared" si="0"/>
        <v>0</v>
      </c>
      <c r="K18" s="53" t="str">
        <f>IFERROR(IF(AND(G18&lt;&gt;"",H18&lt;&gt;""),IF(G18&lt;&gt;"DUSD",VLOOKUP(VLOOKUP(G18,tableLoanIdx[],2,0),PoolPairs!$I$6:$AC$1000,10,0),1),""),"")</f>
        <v/>
      </c>
      <c r="L18" s="54" t="str">
        <f>IFERROR(IF(AND(G18&lt;&gt;"",H18&lt;&gt;""),K18*H18*(1+VLOOKUP(VLOOKUP(G18,tableLoanIdx[],2,0),PoolPairs!$I$6:$AC$1000,15,0)),""),"")</f>
        <v/>
      </c>
      <c r="M18" s="63" t="str">
        <f>IFERROR(IF(L18&lt;&gt;"",1/VLOOKUP(VLOOKUP($L$8,tableLoanIdx[],2,0),PoolPairs!$I$6:$AC$1000,10,0),""),"")</f>
        <v/>
      </c>
      <c r="N18" s="55" t="str">
        <f>IF(AND(L18&lt;&gt;"",$M$9&lt;&gt;""),L18/M18*(1+VLOOKUP(VLOOKUP(G18,tableLoanIdx[],2,0),PoolPairs!$I$6:$AC$1000,15,0)),"")</f>
        <v/>
      </c>
      <c r="O18" s="87" t="str">
        <f>IFERROR(IF(AND(G18&lt;&gt;"",H18&lt;&gt;""),IF(G18="DUSD",H18,H18*VLOOKUP(G18,Prices!$F$6:$Q$1000,5,0)),""),"")</f>
        <v/>
      </c>
    </row>
    <row r="19" spans="2:15" x14ac:dyDescent="0.2">
      <c r="B19" s="89" t="s">
        <v>107</v>
      </c>
      <c r="C19" s="90">
        <f>IFERROR(Vaults!$C$9/100,"")</f>
        <v>0</v>
      </c>
      <c r="D19" s="298"/>
      <c r="E19" s="298"/>
      <c r="F19" s="298"/>
      <c r="G19" s="154" t="str">
        <f>IFERROR(IF(Vaults!$C$112&lt;&gt;"",Vaults!$C$112,""),"")</f>
        <v/>
      </c>
      <c r="H19" s="153">
        <f>IFERROR(Vaults!$C$113,"")</f>
        <v>0</v>
      </c>
      <c r="I19" s="153">
        <f>IFERROR(Vaults!$C$114,"")</f>
        <v>0</v>
      </c>
      <c r="J19" s="153">
        <f t="shared" si="0"/>
        <v>0</v>
      </c>
      <c r="K19" s="53" t="str">
        <f>IFERROR(IF(AND(G19&lt;&gt;"",H19&lt;&gt;""),IF(G19&lt;&gt;"DUSD",VLOOKUP(VLOOKUP(G19,tableLoanIdx[],2,0),PoolPairs!$I$6:$AC$1000,10,0),1),""),"")</f>
        <v/>
      </c>
      <c r="L19" s="54" t="str">
        <f>IFERROR(IF(AND(G19&lt;&gt;"",H19&lt;&gt;""),K19*H19*(1+VLOOKUP(VLOOKUP(G19,tableLoanIdx[],2,0),PoolPairs!$I$6:$AC$1000,15,0)),""),"")</f>
        <v/>
      </c>
      <c r="M19" s="63" t="str">
        <f>IFERROR(IF(L19&lt;&gt;"",1/VLOOKUP(VLOOKUP($L$8,tableLoanIdx[],2,0),PoolPairs!$I$6:$AC$1000,10,0),""),"")</f>
        <v/>
      </c>
      <c r="N19" s="55" t="str">
        <f>IF(AND(L19&lt;&gt;"",$M$9&lt;&gt;""),L19/M19*(1+VLOOKUP(VLOOKUP(G19,tableLoanIdx[],2,0),PoolPairs!$I$6:$AC$1000,15,0)),"")</f>
        <v/>
      </c>
      <c r="O19" s="87" t="str">
        <f>IFERROR(IF(AND(G19&lt;&gt;"",H19&lt;&gt;""),IF(G19="DUSD",H19,H19*VLOOKUP(G19,Prices!$F$6:$Q$1000,5,0)),""),"")</f>
        <v/>
      </c>
    </row>
    <row r="20" spans="2:15" x14ac:dyDescent="0.2">
      <c r="B20" s="89" t="s">
        <v>91</v>
      </c>
      <c r="C20" s="91" t="str">
        <f>IFERROR(B15,"")</f>
        <v/>
      </c>
      <c r="D20" s="298"/>
      <c r="E20" s="298"/>
      <c r="F20" s="298"/>
      <c r="G20" s="154" t="str">
        <f>IFERROR(IF(Vaults!$C$119&lt;&gt;"",Vaults!$C$119,""),"")</f>
        <v/>
      </c>
      <c r="H20" s="153">
        <f>IFERROR(Vaults!$C$120,"")</f>
        <v>0</v>
      </c>
      <c r="I20" s="153">
        <f>IFERROR(Vaults!$C$121,"")</f>
        <v>0</v>
      </c>
      <c r="J20" s="153">
        <f t="shared" si="0"/>
        <v>0</v>
      </c>
      <c r="K20" s="53" t="str">
        <f>IFERROR(IF(AND(G20&lt;&gt;"",H20&lt;&gt;""),IF(G20&lt;&gt;"DUSD",VLOOKUP(VLOOKUP(G20,tableLoanIdx[],2,0),PoolPairs!$I$6:$AC$1000,10,0),1),""),"")</f>
        <v/>
      </c>
      <c r="L20" s="54" t="str">
        <f>IFERROR(IF(AND(G20&lt;&gt;"",H20&lt;&gt;""),K20*H20*(1+VLOOKUP(VLOOKUP(G20,tableLoanIdx[],2,0),PoolPairs!$I$6:$AC$1000,15,0)),""),"")</f>
        <v/>
      </c>
      <c r="M20" s="63" t="str">
        <f>IFERROR(IF(L20&lt;&gt;"",1/VLOOKUP(VLOOKUP($L$8,tableLoanIdx[],2,0),PoolPairs!$I$6:$AC$1000,10,0),""),"")</f>
        <v/>
      </c>
      <c r="N20" s="55" t="str">
        <f>IF(AND(L20&lt;&gt;"",$M$9&lt;&gt;""),L20/M20*(1+VLOOKUP(VLOOKUP(G20,tableLoanIdx[],2,0),PoolPairs!$I$6:$AC$1000,15,0)),"")</f>
        <v/>
      </c>
      <c r="O20" s="87" t="str">
        <f>IFERROR(IF(AND(G20&lt;&gt;"",H20&lt;&gt;""),IF(G20="DUSD",H20,H20*VLOOKUP(G20,Prices!$F$6:$Q$1000,5,0)),""),"")</f>
        <v/>
      </c>
    </row>
    <row r="21" spans="2:15" x14ac:dyDescent="0.2">
      <c r="B21" s="89" t="s">
        <v>92</v>
      </c>
      <c r="C21" s="91">
        <f>SUM(O9:O24)</f>
        <v>0</v>
      </c>
      <c r="D21" s="297">
        <f>SUM(N9:N24)</f>
        <v>0</v>
      </c>
      <c r="E21" s="298"/>
      <c r="F21" s="298"/>
      <c r="G21" s="154" t="str">
        <f>IFERROR(IF(Vaults!$C$126&lt;&gt;"",Vaults!$C$126,""),"")</f>
        <v/>
      </c>
      <c r="H21" s="153">
        <f>IFERROR(Vaults!$C$127,"")</f>
        <v>0</v>
      </c>
      <c r="I21" s="153">
        <f>IFERROR(Vaults!$C$128,"")</f>
        <v>0</v>
      </c>
      <c r="J21" s="153">
        <f t="shared" si="0"/>
        <v>0</v>
      </c>
      <c r="K21" s="53" t="str">
        <f>IFERROR(IF(AND(G21&lt;&gt;"",H21&lt;&gt;""),IF(G21&lt;&gt;"DUSD",VLOOKUP(VLOOKUP(G21,tableLoanIdx[],2,0),PoolPairs!$I$6:$AC$1000,10,0),1),""),"")</f>
        <v/>
      </c>
      <c r="L21" s="54" t="str">
        <f>IFERROR(IF(AND(G21&lt;&gt;"",H21&lt;&gt;""),K21*H21*(1+VLOOKUP(VLOOKUP(G21,tableLoanIdx[],2,0),PoolPairs!$I$6:$AC$1000,15,0)),""),"")</f>
        <v/>
      </c>
      <c r="M21" s="63" t="str">
        <f>IFERROR(IF(L21&lt;&gt;"",1/VLOOKUP(VLOOKUP($L$8,tableLoanIdx[],2,0),PoolPairs!$I$6:$AC$1000,10,0),""),"")</f>
        <v/>
      </c>
      <c r="N21" s="55" t="str">
        <f>IF(AND(L21&lt;&gt;"",$M$9&lt;&gt;""),L21/M21*(1+VLOOKUP(VLOOKUP(G21,tableLoanIdx[],2,0),PoolPairs!$I$6:$AC$1000,15,0)),"")</f>
        <v/>
      </c>
      <c r="O21" s="87" t="str">
        <f>IFERROR(IF(AND(G21&lt;&gt;"",H21&lt;&gt;""),IF(G21="DUSD",H21,H21*VLOOKUP(G21,Prices!$F$6:$Q$1000,5,0)),""),"")</f>
        <v/>
      </c>
    </row>
    <row r="22" spans="2:15" x14ac:dyDescent="0.2">
      <c r="B22" s="89" t="s">
        <v>105</v>
      </c>
      <c r="C22" s="92" t="str">
        <f>IFERROR(C20/C21,"")</f>
        <v/>
      </c>
      <c r="D22" s="298"/>
      <c r="E22" s="298"/>
      <c r="F22" s="298"/>
      <c r="G22" s="154" t="str">
        <f>IFERROR(IF(Vaults!$C$133&lt;&gt;"",Vaults!$C$133,""),"")</f>
        <v/>
      </c>
      <c r="H22" s="153">
        <f>IFERROR(Vaults!$C$134,"")</f>
        <v>0</v>
      </c>
      <c r="I22" s="153">
        <f>IFERROR(Vaults!$C$135,"")</f>
        <v>0</v>
      </c>
      <c r="J22" s="153">
        <f t="shared" si="0"/>
        <v>0</v>
      </c>
      <c r="K22" s="53" t="str">
        <f>IFERROR(IF(AND(G22&lt;&gt;"",H22&lt;&gt;""),IF(G22&lt;&gt;"DUSD",VLOOKUP(VLOOKUP(G22,tableLoanIdx[],2,0),PoolPairs!$I$6:$AC$1000,10,0),1),""),"")</f>
        <v/>
      </c>
      <c r="L22" s="54" t="str">
        <f>IFERROR(IF(AND(G22&lt;&gt;"",H22&lt;&gt;""),K22*H22*(1+VLOOKUP(VLOOKUP(G22,tableLoanIdx[],2,0),PoolPairs!$I$6:$AC$1000,15,0)),""),"")</f>
        <v/>
      </c>
      <c r="M22" s="63" t="str">
        <f>IFERROR(IF(L22&lt;&gt;"",1/VLOOKUP(VLOOKUP($L$8,tableLoanIdx[],2,0),PoolPairs!$I$6:$AC$1000,10,0),""),"")</f>
        <v/>
      </c>
      <c r="N22" s="55" t="str">
        <f>IF(AND(L22&lt;&gt;"",$M$9&lt;&gt;""),L22/M22*(1+VLOOKUP(VLOOKUP(G22,tableLoanIdx[],2,0),PoolPairs!$I$6:$AC$1000,15,0)),"")</f>
        <v/>
      </c>
      <c r="O22" s="87" t="str">
        <f>IFERROR(IF(AND(G22&lt;&gt;"",H22&lt;&gt;""),IF(G22="DUSD",H22,H22*VLOOKUP(G22,Prices!$F$6:$Q$1000,5,0)),""),"")</f>
        <v/>
      </c>
    </row>
    <row r="23" spans="2:15" ht="12.75" customHeight="1" x14ac:dyDescent="0.2">
      <c r="B23" s="405" t="s">
        <v>108</v>
      </c>
      <c r="C23" s="405"/>
      <c r="D23" s="406">
        <f>B13-D21</f>
        <v>0</v>
      </c>
      <c r="E23" s="407"/>
      <c r="F23" s="298"/>
      <c r="G23" s="154" t="str">
        <f>IFERROR(IF(Vaults!$C$140&lt;&gt;"",Vaults!$C$140,""),"")</f>
        <v/>
      </c>
      <c r="H23" s="153">
        <f>IFERROR(Vaults!$C$141,"")</f>
        <v>0</v>
      </c>
      <c r="I23" s="153">
        <f>IFERROR(Vaults!$C$142,"")</f>
        <v>0</v>
      </c>
      <c r="J23" s="153">
        <f t="shared" si="0"/>
        <v>0</v>
      </c>
      <c r="K23" s="53" t="str">
        <f>IFERROR(IF(AND(G23&lt;&gt;"",H23&lt;&gt;""),IF(G23&lt;&gt;"DUSD",VLOOKUP(VLOOKUP(G23,tableLoanIdx[],2,0),PoolPairs!$I$6:$AC$1000,10,0),1),""),"")</f>
        <v/>
      </c>
      <c r="L23" s="54" t="str">
        <f>IFERROR(IF(AND(G23&lt;&gt;"",H23&lt;&gt;""),K23*H23*(1+VLOOKUP(VLOOKUP(G23,tableLoanIdx[],2,0),PoolPairs!$I$6:$AC$1000,15,0)),""),"")</f>
        <v/>
      </c>
      <c r="M23" s="63" t="str">
        <f>IFERROR(IF(L23&lt;&gt;"",1/VLOOKUP(VLOOKUP($L$8,tableLoanIdx[],2,0),PoolPairs!$I$6:$AC$1000,10,0),""),"")</f>
        <v/>
      </c>
      <c r="N23" s="55" t="str">
        <f>IF(AND(L23&lt;&gt;"",$M$9&lt;&gt;""),L23/M23*(1+VLOOKUP(VLOOKUP(G23,tableLoanIdx[],2,0),PoolPairs!$I$6:$AC$1000,15,0)),"")</f>
        <v/>
      </c>
      <c r="O23" s="87" t="str">
        <f>IFERROR(IF(AND(G23&lt;&gt;"",H23&lt;&gt;""),IF(G23="DUSD",H23,H23*VLOOKUP(G23,Prices!$F$6:$Q$1000,5,0)),""),"")</f>
        <v/>
      </c>
    </row>
    <row r="24" spans="2:15" ht="12.75" customHeight="1" x14ac:dyDescent="0.2">
      <c r="B24" s="405"/>
      <c r="C24" s="405"/>
      <c r="D24" s="408"/>
      <c r="E24" s="409"/>
      <c r="F24" s="299"/>
      <c r="G24" s="154" t="str">
        <f>IFERROR(IF(Vaults!$C$147&lt;&gt;"",Vaults!$C$147,""),"")</f>
        <v/>
      </c>
      <c r="H24" s="153">
        <f>IFERROR(Vaults!$C$148,"")</f>
        <v>0</v>
      </c>
      <c r="I24" s="153">
        <f>IFERROR(Vaults!$C$149,"")</f>
        <v>0</v>
      </c>
      <c r="J24" s="153">
        <f t="shared" si="0"/>
        <v>0</v>
      </c>
      <c r="K24" s="53" t="str">
        <f>IFERROR(IF(AND(G24&lt;&gt;"",H24&lt;&gt;""),IF(G24&lt;&gt;"DUSD",VLOOKUP(VLOOKUP(G24,tableLoanIdx[],2,0),PoolPairs!$I$6:$AC$1000,10,0),1),""),"")</f>
        <v/>
      </c>
      <c r="L24" s="54" t="str">
        <f>IFERROR(IF(AND(G24&lt;&gt;"",H24&lt;&gt;""),K24*H24*(1+VLOOKUP(VLOOKUP(G24,tableLoanIdx[],2,0),PoolPairs!$I$6:$AC$1000,15,0)),""),"")</f>
        <v/>
      </c>
      <c r="M24" s="63" t="str">
        <f>IFERROR(IF(L24&lt;&gt;"",1/VLOOKUP(VLOOKUP($L$8,tableLoanIdx[],2,0),PoolPairs!$I$6:$AC$1000,10,0),""),"")</f>
        <v/>
      </c>
      <c r="N24" s="55" t="str">
        <f>IF(AND(L24&lt;&gt;"",$M$9&lt;&gt;""),L24/M24*(1+VLOOKUP(VLOOKUP(G24,tableLoanIdx[],2,0),PoolPairs!$I$6:$AC$1000,15,0)),"")</f>
        <v/>
      </c>
      <c r="O24" s="87" t="str">
        <f>IFERROR(IF(AND(G24&lt;&gt;"",H24&lt;&gt;""),IF(G24="DUSD",H24,H24*VLOOKUP(G24,Prices!$F$6:$Q$1000,5,0)),""),"")</f>
        <v/>
      </c>
    </row>
    <row r="28" spans="2:15" ht="12.75" customHeight="1" x14ac:dyDescent="0.2"/>
    <row r="29" spans="2:15" ht="12.75" customHeight="1" x14ac:dyDescent="0.2"/>
  </sheetData>
  <mergeCells count="10">
    <mergeCell ref="B23:C24"/>
    <mergeCell ref="D23:E24"/>
    <mergeCell ref="N2:O2"/>
    <mergeCell ref="N3:O3"/>
    <mergeCell ref="B14:E14"/>
    <mergeCell ref="B15:E15"/>
    <mergeCell ref="G6:O7"/>
    <mergeCell ref="B6:E7"/>
    <mergeCell ref="B13:E13"/>
    <mergeCell ref="B5:O5"/>
  </mergeCells>
  <conditionalFormatting sqref="B22:C22">
    <cfRule type="expression" dxfId="32" priority="61">
      <formula>IF($C22&lt;=1.5*$C$18,1,0)</formula>
    </cfRule>
    <cfRule type="expression" dxfId="31" priority="62">
      <formula>IF(AND($C22&lt;=2*$C$18,$C22&gt;1.5*$C$18),1,0)</formula>
    </cfRule>
    <cfRule type="expression" dxfId="30" priority="63">
      <formula>IF($C22&gt;$C$18*2,1,0)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 tint="0.39997558519241921"/>
  </sheetPr>
  <dimension ref="B1:L22"/>
  <sheetViews>
    <sheetView workbookViewId="0">
      <selection activeCell="I13" sqref="I13"/>
    </sheetView>
  </sheetViews>
  <sheetFormatPr baseColWidth="10" defaultRowHeight="12.75" x14ac:dyDescent="0.2"/>
  <cols>
    <col min="2" max="2" width="16.85546875" bestFit="1" customWidth="1"/>
    <col min="3" max="3" width="15.7109375" bestFit="1" customWidth="1"/>
    <col min="4" max="4" width="12.5703125" bestFit="1" customWidth="1"/>
    <col min="5" max="5" width="17.5703125" bestFit="1" customWidth="1"/>
    <col min="6" max="6" width="2.140625" customWidth="1"/>
    <col min="7" max="7" width="6.5703125" bestFit="1" customWidth="1"/>
    <col min="8" max="8" width="19" bestFit="1" customWidth="1"/>
    <col min="9" max="9" width="12.28515625" bestFit="1" customWidth="1"/>
    <col min="10" max="10" width="9.28515625" bestFit="1" customWidth="1"/>
    <col min="11" max="11" width="9.7109375" bestFit="1" customWidth="1"/>
    <col min="12" max="12" width="10.28515625" bestFit="1" customWidth="1"/>
    <col min="13" max="13" width="5.5703125" customWidth="1"/>
    <col min="14" max="14" width="12.28515625" bestFit="1" customWidth="1"/>
    <col min="15" max="15" width="19.140625" bestFit="1" customWidth="1"/>
    <col min="16" max="16" width="6.42578125" bestFit="1" customWidth="1"/>
    <col min="17" max="17" width="22.85546875" bestFit="1" customWidth="1"/>
  </cols>
  <sheetData>
    <row r="1" spans="2:12" x14ac:dyDescent="0.2">
      <c r="K1" s="12"/>
    </row>
    <row r="2" spans="2:12" x14ac:dyDescent="0.2">
      <c r="E2" s="423"/>
      <c r="F2" s="423"/>
      <c r="G2" s="423"/>
      <c r="H2" s="423"/>
      <c r="I2" s="423"/>
      <c r="J2" s="423"/>
      <c r="K2" s="12"/>
    </row>
    <row r="3" spans="2:12" x14ac:dyDescent="0.2">
      <c r="J3" s="12"/>
      <c r="K3" s="12"/>
    </row>
    <row r="4" spans="2:12" x14ac:dyDescent="0.2">
      <c r="J4" s="12"/>
      <c r="K4" s="12"/>
    </row>
    <row r="5" spans="2:12" x14ac:dyDescent="0.2">
      <c r="J5" s="12"/>
      <c r="K5" s="12"/>
    </row>
    <row r="6" spans="2:12" ht="12.75" customHeight="1" x14ac:dyDescent="0.2">
      <c r="B6" s="420" t="s">
        <v>91</v>
      </c>
      <c r="C6" s="420"/>
      <c r="D6" s="420"/>
      <c r="E6" s="420"/>
      <c r="G6" s="420" t="s">
        <v>92</v>
      </c>
      <c r="H6" s="420"/>
      <c r="I6" s="420"/>
      <c r="J6" s="420"/>
      <c r="K6" s="420"/>
      <c r="L6" s="420"/>
    </row>
    <row r="7" spans="2:12" ht="13.5" customHeight="1" x14ac:dyDescent="0.2">
      <c r="B7" s="420"/>
      <c r="C7" s="420"/>
      <c r="D7" s="420"/>
      <c r="E7" s="420"/>
      <c r="G7" s="420"/>
      <c r="H7" s="420"/>
      <c r="I7" s="420"/>
      <c r="J7" s="420"/>
      <c r="K7" s="420"/>
      <c r="L7" s="420"/>
    </row>
    <row r="8" spans="2:12" ht="12.75" customHeight="1" x14ac:dyDescent="0.2">
      <c r="B8" s="48" t="s">
        <v>15</v>
      </c>
      <c r="C8" s="49" t="s">
        <v>53</v>
      </c>
      <c r="D8" s="50" t="s">
        <v>54</v>
      </c>
      <c r="E8" s="50" t="s">
        <v>55</v>
      </c>
      <c r="G8" s="8" t="s">
        <v>20</v>
      </c>
      <c r="H8" s="8" t="s">
        <v>93</v>
      </c>
      <c r="I8" s="8" t="s">
        <v>95</v>
      </c>
      <c r="J8" s="46" t="s">
        <v>29</v>
      </c>
      <c r="K8" s="8" t="s">
        <v>96</v>
      </c>
      <c r="L8" s="46" t="s">
        <v>15</v>
      </c>
    </row>
    <row r="9" spans="2:12" ht="13.5" customHeight="1" x14ac:dyDescent="0.2">
      <c r="B9" s="152"/>
      <c r="C9" s="152"/>
      <c r="D9" s="152"/>
      <c r="E9" s="152"/>
      <c r="G9" s="51"/>
      <c r="H9" s="153"/>
      <c r="I9" s="53" t="str">
        <f>IFERROR(IF(AND(G9&lt;&gt;"",H9&lt;&gt;""),IF(G9&lt;&gt;"DUSD",VLOOKUP(VLOOKUP(G9,tableLoanIdx[],2,0),PoolPairs!$I$6:$AC$1000,10,0),1),""),"")</f>
        <v/>
      </c>
      <c r="J9" s="54" t="str">
        <f>IFERROR(IF(AND(G9&lt;&gt;"",H9&lt;&gt;""),I9*H9*(1+VLOOKUP(VLOOKUP(G9,tableLoanIdx[],2,0),PoolPairs!$I$6:$AC$1000,15,0)),""),"")</f>
        <v/>
      </c>
      <c r="K9" s="63" t="str">
        <f>IFERROR(1/VLOOKUP(VLOOKUP($J$8,tableLoanIdx[],2,0),PoolPairs!$I$6:$AC$1000,10,0),"")</f>
        <v/>
      </c>
      <c r="L9" s="55" t="str">
        <f>IF(AND(J9&lt;&gt;"",$K$9&lt;&gt;""),J9/K9*(1+VLOOKUP(VLOOKUP(G9,tableLoanIdx[],2,0),PoolPairs!$I$6:$AC$1000,15,0)),"")</f>
        <v/>
      </c>
    </row>
    <row r="10" spans="2:12" x14ac:dyDescent="0.2">
      <c r="B10" s="52" t="s">
        <v>94</v>
      </c>
      <c r="C10" s="52" t="s">
        <v>94</v>
      </c>
      <c r="D10" s="52" t="s">
        <v>94</v>
      </c>
      <c r="E10" s="52" t="s">
        <v>94</v>
      </c>
    </row>
    <row r="11" spans="2:12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</row>
    <row r="12" spans="2:12" x14ac:dyDescent="0.2">
      <c r="B12" s="52" t="s">
        <v>94</v>
      </c>
      <c r="C12" s="52" t="s">
        <v>94</v>
      </c>
      <c r="D12" s="52" t="s">
        <v>94</v>
      </c>
      <c r="E12" s="52" t="s">
        <v>94</v>
      </c>
    </row>
    <row r="13" spans="2:12" ht="18" x14ac:dyDescent="0.2">
      <c r="B13" s="426">
        <f>SUM(B11:E11)</f>
        <v>0</v>
      </c>
      <c r="C13" s="426"/>
      <c r="D13" s="426"/>
      <c r="E13" s="426"/>
    </row>
    <row r="14" spans="2:12" ht="18" x14ac:dyDescent="0.2">
      <c r="B14" s="427" t="str">
        <f>IF(AND(B13&lt;&gt;"",K9&lt;&gt;""),B13*K9*(1-VLOOKUP(VLOOKUP($J$8,Data1!$Q$3:$R$19,2,0),PoolPairs!$I$6:$AC$1000,15,0)),"")</f>
        <v/>
      </c>
      <c r="C14" s="427"/>
      <c r="D14" s="427"/>
      <c r="E14" s="427"/>
      <c r="J14" t="str">
        <f t="shared" ref="J14:J18" si="0">IF(AND(G14&lt;&gt;"",H14&lt;&gt;""),I14*H14,"")</f>
        <v/>
      </c>
      <c r="L14" t="str">
        <f>IF(AND(J14&lt;&gt;"",$K$9&lt;&gt;""),J14/K14,"")</f>
        <v/>
      </c>
    </row>
    <row r="15" spans="2:12" x14ac:dyDescent="0.2">
      <c r="B15" s="51" t="s">
        <v>179</v>
      </c>
      <c r="C15" s="57" t="str">
        <f>IFERROR(L9,"")</f>
        <v/>
      </c>
      <c r="D15" s="296" t="s">
        <v>30</v>
      </c>
      <c r="E15" s="59" t="str">
        <f>IFERROR(J9,"")</f>
        <v/>
      </c>
      <c r="J15" t="str">
        <f t="shared" si="0"/>
        <v/>
      </c>
      <c r="L15" t="str">
        <f>IF(AND(J15&lt;&gt;"",$K$9&lt;&gt;""),J15/K15,"")</f>
        <v/>
      </c>
    </row>
    <row r="16" spans="2:12" x14ac:dyDescent="0.2">
      <c r="B16" s="51" t="s">
        <v>180</v>
      </c>
      <c r="C16" s="58">
        <f>B13</f>
        <v>0</v>
      </c>
      <c r="D16" s="296" t="s">
        <v>30</v>
      </c>
      <c r="E16" s="59" t="str">
        <f>B14</f>
        <v/>
      </c>
      <c r="J16" t="str">
        <f t="shared" si="0"/>
        <v/>
      </c>
      <c r="L16" t="str">
        <f>IF(AND(J16&lt;&gt;"",$K$9&lt;&gt;""),J16/K16,"")</f>
        <v/>
      </c>
    </row>
    <row r="17" spans="2:12" ht="12.75" customHeight="1" x14ac:dyDescent="0.2">
      <c r="B17" s="51" t="s">
        <v>181</v>
      </c>
      <c r="C17" s="60" t="str">
        <f>IF(AND(C15&lt;&gt;"",C16&lt;&gt;""),C16-C15,"")</f>
        <v/>
      </c>
      <c r="D17" s="8" t="s">
        <v>30</v>
      </c>
      <c r="E17" s="61" t="str">
        <f>IFERROR(IF(AND(C15&lt;&gt;"",C16&lt;&gt;""),E16-E15,""),"")</f>
        <v/>
      </c>
      <c r="J17" t="str">
        <f t="shared" si="0"/>
        <v/>
      </c>
      <c r="L17" t="str">
        <f>IF(AND(J17&lt;&gt;"",$K$9&lt;&gt;""),J17/K17,"")</f>
        <v/>
      </c>
    </row>
    <row r="18" spans="2:12" ht="13.5" customHeight="1" x14ac:dyDescent="0.2">
      <c r="B18" s="425" t="s">
        <v>150</v>
      </c>
      <c r="C18" s="425"/>
      <c r="D18" s="424" t="str">
        <f>IFERROR(C15/C16,"")</f>
        <v/>
      </c>
      <c r="E18" s="424"/>
      <c r="J18" t="str">
        <f t="shared" si="0"/>
        <v/>
      </c>
      <c r="L18" t="str">
        <f>IF(AND(J18&lt;&gt;"",$K$9&lt;&gt;""),J18/K18,"")</f>
        <v/>
      </c>
    </row>
    <row r="22" spans="2:12" x14ac:dyDescent="0.2">
      <c r="J22" s="12"/>
      <c r="K22" s="12"/>
    </row>
  </sheetData>
  <mergeCells count="7">
    <mergeCell ref="E2:J2"/>
    <mergeCell ref="G6:L7"/>
    <mergeCell ref="D18:E18"/>
    <mergeCell ref="B18:C18"/>
    <mergeCell ref="B13:E13"/>
    <mergeCell ref="B6:E7"/>
    <mergeCell ref="B14:E14"/>
  </mergeCells>
  <conditionalFormatting sqref="B18">
    <cfRule type="expression" dxfId="29" priority="44">
      <formula>IF($D18&gt;=1,1,0)</formula>
    </cfRule>
    <cfRule type="expression" dxfId="28" priority="45">
      <formula>IF(D18&lt;1,1,0)</formula>
    </cfRule>
  </conditionalFormatting>
  <conditionalFormatting sqref="D18">
    <cfRule type="expression" dxfId="27" priority="50">
      <formula>IF($D18&gt;=1,1,0)</formula>
    </cfRule>
    <cfRule type="expression" dxfId="26" priority="51">
      <formula>IF(P3&lt;1,1,0)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Data1!$Q$3:$Q$19</xm:f>
          </x14:formula1>
          <xm:sqref>B21:B25 B27:B28</xm:sqref>
        </x14:dataValidation>
        <x14:dataValidation type="list" allowBlank="1" showInputMessage="1" showErrorMessage="1">
          <x14:formula1>
            <xm:f>Data1!$Q$3:$Q$23</xm:f>
          </x14:formula1>
          <xm:sqref>G9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79998168889431442"/>
  </sheetPr>
  <dimension ref="B4:AC28"/>
  <sheetViews>
    <sheetView workbookViewId="0"/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3.42578125" bestFit="1" customWidth="1"/>
    <col min="5" max="5" width="14.42578125" bestFit="1" customWidth="1"/>
    <col min="6" max="6" width="32.42578125" bestFit="1" customWidth="1"/>
    <col min="7" max="7" width="14.28515625" customWidth="1"/>
    <col min="8" max="8" width="21.42578125" customWidth="1"/>
    <col min="9" max="9" width="9.5703125" customWidth="1"/>
    <col min="10" max="10" width="14.5703125" customWidth="1"/>
    <col min="11" max="11" width="22.28515625" customWidth="1"/>
    <col min="12" max="12" width="14.28515625" customWidth="1"/>
    <col min="13" max="13" width="21.42578125" customWidth="1"/>
    <col min="14" max="14" width="9.5703125" customWidth="1"/>
    <col min="15" max="15" width="14.5703125" customWidth="1"/>
    <col min="16" max="16" width="22.28515625" customWidth="1" collapsed="1"/>
    <col min="17" max="17" width="13.140625" bestFit="1" customWidth="1"/>
    <col min="18" max="18" width="13.140625" customWidth="1"/>
    <col min="19" max="19" width="18.5703125" bestFit="1" customWidth="1"/>
    <col min="20" max="20" width="16.7109375" bestFit="1" customWidth="1"/>
    <col min="21" max="21" width="11" bestFit="1" customWidth="1"/>
    <col min="22" max="22" width="8.5703125" customWidth="1"/>
    <col min="23" max="23" width="11.7109375" bestFit="1" customWidth="1"/>
    <col min="24" max="24" width="11.28515625" bestFit="1" customWidth="1"/>
    <col min="25" max="25" width="6.7109375" bestFit="1" customWidth="1"/>
    <col min="26" max="26" width="13.140625" bestFit="1" customWidth="1"/>
    <col min="27" max="27" width="38.5703125" bestFit="1" customWidth="1"/>
    <col min="28" max="28" width="65.85546875" bestFit="1" customWidth="1"/>
    <col min="29" max="29" width="14.7109375" bestFit="1" customWidth="1"/>
  </cols>
  <sheetData>
    <row r="4" spans="2:29" x14ac:dyDescent="0.2">
      <c r="B4" s="15" t="s">
        <v>131</v>
      </c>
      <c r="C4" s="428"/>
      <c r="D4" s="429"/>
      <c r="E4" s="429"/>
      <c r="F4" s="430"/>
      <c r="G4" s="15"/>
      <c r="H4" s="15"/>
      <c r="I4" s="15"/>
      <c r="J4" s="15"/>
      <c r="K4" s="15"/>
      <c r="L4" s="431"/>
      <c r="M4" s="433"/>
      <c r="N4" s="433"/>
      <c r="O4" s="433"/>
      <c r="P4" s="432"/>
      <c r="Q4" s="431"/>
      <c r="R4" s="432"/>
      <c r="S4" s="431"/>
      <c r="T4" s="432"/>
      <c r="U4" s="431"/>
      <c r="V4" s="432"/>
      <c r="W4" s="69"/>
      <c r="X4" s="65"/>
      <c r="Y4" s="69"/>
      <c r="Z4" s="65"/>
      <c r="AA4" s="65"/>
      <c r="AB4" s="431"/>
      <c r="AC4" s="432"/>
    </row>
    <row r="5" spans="2:29" x14ac:dyDescent="0.2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2:29" x14ac:dyDescent="0.2">
      <c r="B6" s="11"/>
      <c r="F6" s="13"/>
      <c r="J6" s="4"/>
      <c r="K6" s="64"/>
      <c r="O6" s="4"/>
      <c r="S6" s="68"/>
      <c r="T6" s="67"/>
      <c r="U6" s="66"/>
      <c r="V6" s="66"/>
      <c r="W6" s="9"/>
      <c r="X6" s="62"/>
      <c r="Y6" s="10"/>
      <c r="Z6" s="10"/>
      <c r="AA6" s="14"/>
    </row>
    <row r="7" spans="2:29" x14ac:dyDescent="0.2">
      <c r="B7" s="11"/>
      <c r="F7" s="13"/>
      <c r="J7" s="4"/>
      <c r="K7" s="64"/>
      <c r="O7" s="4"/>
      <c r="S7" s="68"/>
      <c r="T7" s="67"/>
      <c r="U7" s="66"/>
      <c r="V7" s="66"/>
      <c r="W7" s="9"/>
      <c r="X7" s="62"/>
      <c r="Y7" s="10"/>
      <c r="Z7" s="10"/>
      <c r="AA7" s="14"/>
    </row>
    <row r="8" spans="2:29" x14ac:dyDescent="0.2">
      <c r="B8" s="11"/>
      <c r="F8" s="13"/>
      <c r="J8" s="4"/>
      <c r="K8" s="64"/>
      <c r="O8" s="4"/>
      <c r="S8" s="68"/>
      <c r="T8" s="67"/>
      <c r="U8" s="66"/>
      <c r="V8" s="66"/>
      <c r="W8" s="9"/>
      <c r="X8" s="62"/>
      <c r="Y8" s="10"/>
      <c r="Z8" s="10"/>
      <c r="AA8" s="14"/>
    </row>
    <row r="9" spans="2:29" x14ac:dyDescent="0.2">
      <c r="J9" s="4"/>
      <c r="K9" s="64"/>
      <c r="O9" s="4"/>
      <c r="S9" s="68"/>
      <c r="T9" s="67"/>
      <c r="U9" s="66"/>
      <c r="V9" s="66"/>
      <c r="W9" s="9"/>
      <c r="X9" s="62"/>
    </row>
    <row r="10" spans="2:29" x14ac:dyDescent="0.2">
      <c r="J10" s="4"/>
      <c r="K10" s="64"/>
      <c r="O10" s="4"/>
      <c r="S10" s="68"/>
      <c r="T10" s="67"/>
      <c r="U10" s="66"/>
      <c r="V10" s="66"/>
      <c r="W10" s="9"/>
      <c r="X10" s="62"/>
    </row>
    <row r="11" spans="2:29" x14ac:dyDescent="0.2">
      <c r="J11" s="4"/>
      <c r="K11" s="64"/>
      <c r="O11" s="4"/>
      <c r="S11" s="68"/>
      <c r="T11" s="67"/>
      <c r="U11" s="66"/>
      <c r="V11" s="66"/>
      <c r="W11" s="9"/>
      <c r="X11" s="62"/>
    </row>
    <row r="12" spans="2:29" x14ac:dyDescent="0.2">
      <c r="J12" s="4"/>
      <c r="K12" s="64"/>
      <c r="O12" s="4"/>
      <c r="S12" s="68"/>
      <c r="T12" s="67"/>
      <c r="U12" s="66"/>
      <c r="V12" s="66"/>
      <c r="W12" s="9"/>
      <c r="X12" s="62"/>
    </row>
    <row r="13" spans="2:29" x14ac:dyDescent="0.2">
      <c r="J13" s="4"/>
      <c r="K13" s="64"/>
      <c r="O13" s="4"/>
      <c r="S13" s="68"/>
      <c r="T13" s="67"/>
      <c r="U13" s="66"/>
      <c r="V13" s="66"/>
      <c r="W13" s="9"/>
      <c r="X13" s="62"/>
    </row>
    <row r="14" spans="2:29" x14ac:dyDescent="0.2">
      <c r="J14" s="4"/>
      <c r="K14" s="64"/>
      <c r="O14" s="4"/>
      <c r="S14" s="68"/>
      <c r="T14" s="67"/>
      <c r="U14" s="66"/>
      <c r="V14" s="66"/>
      <c r="W14" s="9"/>
      <c r="X14" s="62"/>
    </row>
    <row r="15" spans="2:29" x14ac:dyDescent="0.2">
      <c r="J15" s="4"/>
      <c r="K15" s="64"/>
      <c r="O15" s="4"/>
      <c r="S15" s="68"/>
      <c r="T15" s="67"/>
      <c r="U15" s="66"/>
      <c r="V15" s="66"/>
      <c r="W15" s="9"/>
      <c r="X15" s="62"/>
    </row>
    <row r="16" spans="2:29" x14ac:dyDescent="0.2">
      <c r="J16" s="4"/>
      <c r="K16" s="64"/>
      <c r="O16" s="4"/>
      <c r="S16" s="68"/>
      <c r="T16" s="67"/>
      <c r="U16" s="66"/>
      <c r="V16" s="66"/>
      <c r="W16" s="9"/>
      <c r="X16" s="62"/>
    </row>
    <row r="17" spans="10:24" x14ac:dyDescent="0.2">
      <c r="J17" s="4"/>
      <c r="K17" s="64"/>
      <c r="O17" s="4"/>
      <c r="S17" s="68"/>
      <c r="T17" s="67"/>
      <c r="U17" s="66"/>
      <c r="V17" s="66"/>
      <c r="W17" s="9"/>
      <c r="X17" s="62"/>
    </row>
    <row r="18" spans="10:24" x14ac:dyDescent="0.2">
      <c r="J18" s="4"/>
      <c r="K18" s="64"/>
      <c r="O18" s="4"/>
      <c r="S18" s="68"/>
      <c r="T18" s="67"/>
      <c r="U18" s="66"/>
      <c r="V18" s="66"/>
      <c r="W18" s="9"/>
      <c r="X18" s="62"/>
    </row>
    <row r="19" spans="10:24" x14ac:dyDescent="0.2">
      <c r="J19" s="4"/>
      <c r="K19" s="64"/>
      <c r="O19" s="4"/>
      <c r="S19" s="68"/>
      <c r="T19" s="67"/>
      <c r="U19" s="66"/>
      <c r="V19" s="66"/>
      <c r="W19" s="9"/>
      <c r="X19" s="62"/>
    </row>
    <row r="20" spans="10:24" x14ac:dyDescent="0.2">
      <c r="J20" s="4"/>
      <c r="K20" s="64"/>
      <c r="O20" s="4"/>
      <c r="S20" s="68"/>
      <c r="T20" s="67"/>
      <c r="U20" s="66"/>
      <c r="V20" s="66"/>
      <c r="W20" s="9"/>
      <c r="X20" s="62"/>
    </row>
    <row r="21" spans="10:24" x14ac:dyDescent="0.2">
      <c r="J21" s="4"/>
      <c r="K21" s="64"/>
      <c r="O21" s="4"/>
      <c r="S21" s="68"/>
      <c r="T21" s="67"/>
      <c r="U21" s="66"/>
      <c r="V21" s="66"/>
      <c r="W21" s="9"/>
      <c r="X21" s="62"/>
    </row>
    <row r="22" spans="10:24" x14ac:dyDescent="0.2">
      <c r="J22" s="4"/>
      <c r="K22" s="64"/>
      <c r="O22" s="4"/>
      <c r="S22" s="68"/>
      <c r="T22" s="67"/>
      <c r="U22" s="66"/>
      <c r="V22" s="66"/>
      <c r="W22" s="9"/>
      <c r="X22" s="62"/>
    </row>
    <row r="23" spans="10:24" x14ac:dyDescent="0.2">
      <c r="J23" s="4"/>
      <c r="K23" s="64"/>
      <c r="O23" s="4"/>
      <c r="S23" s="68"/>
      <c r="T23" s="67"/>
      <c r="U23" s="66"/>
      <c r="V23" s="66"/>
      <c r="W23" s="9"/>
      <c r="X23" s="62"/>
    </row>
    <row r="24" spans="10:24" x14ac:dyDescent="0.2">
      <c r="J24" s="4"/>
      <c r="K24" s="64"/>
      <c r="O24" s="4"/>
      <c r="S24" s="68"/>
      <c r="T24" s="67"/>
      <c r="U24" s="66"/>
      <c r="V24" s="66"/>
      <c r="W24" s="9"/>
      <c r="X24" s="62"/>
    </row>
    <row r="25" spans="10:24" x14ac:dyDescent="0.2">
      <c r="J25" s="4"/>
      <c r="K25" s="64"/>
      <c r="O25" s="4"/>
      <c r="S25" s="68"/>
      <c r="T25" s="67"/>
      <c r="U25" s="66"/>
      <c r="V25" s="66"/>
      <c r="W25" s="9"/>
      <c r="X25" s="62"/>
    </row>
    <row r="26" spans="10:24" x14ac:dyDescent="0.2">
      <c r="J26" s="4"/>
      <c r="K26" s="64"/>
      <c r="O26" s="4"/>
      <c r="S26" s="68"/>
      <c r="T26" s="67"/>
      <c r="U26" s="66"/>
      <c r="V26" s="66"/>
      <c r="W26" s="9"/>
      <c r="X26" s="62"/>
    </row>
    <row r="27" spans="10:24" x14ac:dyDescent="0.2">
      <c r="J27" s="4"/>
      <c r="K27" s="64"/>
      <c r="O27" s="4"/>
      <c r="S27" s="68"/>
      <c r="T27" s="67"/>
      <c r="U27" s="66"/>
      <c r="V27" s="66"/>
      <c r="W27" s="9"/>
      <c r="X27" s="62"/>
    </row>
    <row r="28" spans="10:24" x14ac:dyDescent="0.2">
      <c r="J28" s="4"/>
      <c r="K28" s="64"/>
      <c r="O28" s="4"/>
      <c r="S28" s="68"/>
      <c r="T28" s="67"/>
      <c r="U28" s="66"/>
      <c r="V28" s="66"/>
      <c r="W28" s="9"/>
      <c r="X28" s="62"/>
    </row>
  </sheetData>
  <mergeCells count="6">
    <mergeCell ref="C4:F4"/>
    <mergeCell ref="S4:T4"/>
    <mergeCell ref="AB4:AC4"/>
    <mergeCell ref="U4:V4"/>
    <mergeCell ref="L4:P4"/>
    <mergeCell ref="Q4:R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6" tint="0.79998168889431442"/>
  </sheetPr>
  <dimension ref="B4:Q84"/>
  <sheetViews>
    <sheetView workbookViewId="0"/>
  </sheetViews>
  <sheetFormatPr baseColWidth="10" defaultRowHeight="12.75" x14ac:dyDescent="0.2"/>
  <cols>
    <col min="2" max="2" width="3.85546875" bestFit="1" customWidth="1"/>
    <col min="3" max="3" width="12.140625" bestFit="1" customWidth="1"/>
    <col min="4" max="4" width="28" bestFit="1" customWidth="1"/>
    <col min="5" max="5" width="14" bestFit="1" customWidth="1"/>
    <col min="6" max="6" width="11.140625" bestFit="1" customWidth="1"/>
    <col min="7" max="7" width="19.85546875" bestFit="1" customWidth="1"/>
    <col min="8" max="8" width="12.140625" bestFit="1" customWidth="1"/>
    <col min="9" max="9" width="16.5703125" bestFit="1" customWidth="1"/>
    <col min="10" max="10" width="24.28515625" bestFit="1" customWidth="1"/>
    <col min="11" max="11" width="27.140625" bestFit="1" customWidth="1"/>
    <col min="12" max="12" width="30.140625" bestFit="1" customWidth="1"/>
    <col min="13" max="13" width="28.7109375" bestFit="1" customWidth="1"/>
    <col min="14" max="14" width="65.28515625" bestFit="1" customWidth="1"/>
    <col min="15" max="15" width="17.42578125" bestFit="1" customWidth="1"/>
    <col min="16" max="16" width="23.28515625" bestFit="1" customWidth="1"/>
    <col min="17" max="17" width="15.5703125" bestFit="1" customWidth="1"/>
  </cols>
  <sheetData>
    <row r="4" spans="2:17" x14ac:dyDescent="0.2">
      <c r="B4" s="15" t="s">
        <v>131</v>
      </c>
      <c r="C4" s="428"/>
      <c r="D4" s="429"/>
      <c r="E4" s="430"/>
      <c r="F4" s="70"/>
      <c r="G4" s="70"/>
      <c r="H4" s="70"/>
      <c r="I4" s="70"/>
      <c r="J4" s="434"/>
      <c r="K4" s="435"/>
      <c r="L4" s="435"/>
      <c r="M4" s="436"/>
      <c r="N4" s="431"/>
      <c r="O4" s="433"/>
      <c r="P4" s="433"/>
      <c r="Q4" s="432"/>
    </row>
    <row r="5" spans="2:17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2:17" x14ac:dyDescent="0.2">
      <c r="B6" s="11"/>
      <c r="C6" s="72"/>
      <c r="D6" s="72"/>
      <c r="E6" s="72"/>
      <c r="F6" s="73"/>
      <c r="G6" s="72"/>
      <c r="H6" s="72"/>
      <c r="I6" s="72"/>
      <c r="J6" s="3"/>
      <c r="K6" s="71"/>
      <c r="N6" s="99"/>
    </row>
    <row r="7" spans="2:17" x14ac:dyDescent="0.2">
      <c r="B7" s="11"/>
      <c r="C7" s="72"/>
      <c r="D7" s="72"/>
      <c r="E7" s="72"/>
      <c r="F7" s="73"/>
      <c r="G7" s="72"/>
      <c r="H7" s="72"/>
      <c r="I7" s="72"/>
      <c r="J7" s="3"/>
      <c r="K7" s="71"/>
      <c r="N7" s="99"/>
    </row>
    <row r="8" spans="2:17" x14ac:dyDescent="0.2">
      <c r="B8" s="11"/>
      <c r="C8" s="72"/>
      <c r="D8" s="72"/>
      <c r="E8" s="72"/>
      <c r="F8" s="73"/>
      <c r="G8" s="72"/>
      <c r="H8" s="72"/>
      <c r="I8" s="72"/>
      <c r="J8" s="3"/>
      <c r="K8" s="71"/>
      <c r="N8" s="99"/>
    </row>
    <row r="9" spans="2:17" x14ac:dyDescent="0.2">
      <c r="C9" s="72"/>
      <c r="D9" s="72"/>
      <c r="E9" s="72"/>
      <c r="F9" s="72"/>
      <c r="G9" s="72"/>
      <c r="H9" s="72"/>
      <c r="I9" s="72"/>
      <c r="J9" s="3"/>
      <c r="K9" s="71"/>
      <c r="N9" s="99"/>
    </row>
    <row r="10" spans="2:17" x14ac:dyDescent="0.2">
      <c r="C10" s="72"/>
      <c r="D10" s="72"/>
      <c r="E10" s="72"/>
      <c r="F10" s="72"/>
      <c r="G10" s="72"/>
      <c r="H10" s="72"/>
      <c r="I10" s="72"/>
      <c r="J10" s="3"/>
      <c r="K10" s="71"/>
      <c r="N10" s="99"/>
    </row>
    <row r="11" spans="2:17" x14ac:dyDescent="0.2">
      <c r="C11" s="72"/>
      <c r="D11" s="72"/>
      <c r="E11" s="72"/>
      <c r="F11" s="72"/>
      <c r="G11" s="72"/>
      <c r="H11" s="72"/>
      <c r="I11" s="72"/>
      <c r="J11" s="3"/>
      <c r="K11" s="71"/>
      <c r="N11" s="99"/>
    </row>
    <row r="12" spans="2:17" x14ac:dyDescent="0.2">
      <c r="C12" s="72"/>
      <c r="D12" s="72"/>
      <c r="E12" s="72"/>
      <c r="F12" s="72"/>
      <c r="G12" s="72"/>
      <c r="H12" s="72"/>
      <c r="I12" s="72"/>
      <c r="J12" s="3"/>
      <c r="K12" s="71"/>
      <c r="N12" s="99"/>
    </row>
    <row r="13" spans="2:17" x14ac:dyDescent="0.2">
      <c r="C13" s="72"/>
      <c r="D13" s="72"/>
      <c r="E13" s="72"/>
      <c r="F13" s="72"/>
      <c r="G13" s="72"/>
      <c r="H13" s="72"/>
      <c r="I13" s="72"/>
      <c r="J13" s="3"/>
      <c r="K13" s="71"/>
      <c r="N13" s="99"/>
    </row>
    <row r="14" spans="2:17" x14ac:dyDescent="0.2">
      <c r="C14" s="72"/>
      <c r="D14" s="72"/>
      <c r="E14" s="72"/>
      <c r="F14" s="72"/>
      <c r="G14" s="72"/>
      <c r="H14" s="72"/>
      <c r="I14" s="72"/>
      <c r="J14" s="3"/>
      <c r="K14" s="71"/>
      <c r="N14" s="99"/>
    </row>
    <row r="15" spans="2:17" x14ac:dyDescent="0.2">
      <c r="B15" s="11"/>
      <c r="C15" s="72"/>
      <c r="D15" s="290"/>
      <c r="E15" s="72"/>
      <c r="F15" s="73"/>
      <c r="G15" s="72"/>
      <c r="H15" s="72"/>
      <c r="I15" s="72"/>
      <c r="J15" s="3"/>
      <c r="K15" s="71"/>
      <c r="N15" s="99"/>
    </row>
    <row r="16" spans="2:17" x14ac:dyDescent="0.2">
      <c r="C16" s="72"/>
      <c r="D16" s="290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C17" s="72"/>
      <c r="D17" s="290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C18" s="72"/>
      <c r="D18" s="290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1"/>
      <c r="C19" s="72"/>
      <c r="D19" s="290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C20" s="72"/>
      <c r="D20" s="290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C21" s="72"/>
      <c r="D21" s="290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C22" s="72"/>
      <c r="D22" s="290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1"/>
      <c r="C23" s="72"/>
      <c r="D23" s="290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C24" s="72"/>
      <c r="D24" s="290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C25" s="72"/>
      <c r="D25" s="290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C26" s="72"/>
      <c r="D26" s="290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1"/>
      <c r="C27" s="72"/>
      <c r="D27" s="290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C28" s="72"/>
      <c r="D28" s="290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C29" s="72"/>
      <c r="D29" s="290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C30" s="72"/>
      <c r="D30" s="290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1"/>
      <c r="C31" s="72"/>
      <c r="D31" s="290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C32" s="72"/>
      <c r="D32" s="290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C33" s="72"/>
      <c r="D33" s="290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C34" s="72"/>
      <c r="D34" s="290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1"/>
      <c r="C35" s="72"/>
      <c r="D35" s="290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C36" s="72"/>
      <c r="D36" s="290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C37" s="72"/>
      <c r="D37" s="290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C38" s="72"/>
      <c r="D38" s="290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1"/>
      <c r="C39" s="72"/>
      <c r="D39" s="290"/>
      <c r="E39" s="72"/>
      <c r="F39" s="74"/>
      <c r="G39" s="72"/>
      <c r="H39" s="72"/>
      <c r="I39" s="72"/>
      <c r="J39" s="3"/>
      <c r="K39" s="71"/>
      <c r="N39" s="99"/>
    </row>
    <row r="40" spans="2:14" x14ac:dyDescent="0.2">
      <c r="C40" s="72"/>
      <c r="D40" s="290"/>
      <c r="E40" s="72"/>
      <c r="F40" s="72"/>
      <c r="G40" s="72"/>
      <c r="H40" s="72"/>
      <c r="I40" s="72"/>
      <c r="J40" s="3"/>
      <c r="K40" s="71"/>
      <c r="N40" s="99"/>
    </row>
    <row r="41" spans="2:14" x14ac:dyDescent="0.2">
      <c r="C41" s="72"/>
      <c r="D41" s="290"/>
      <c r="E41" s="72"/>
      <c r="F41" s="72"/>
      <c r="G41" s="72"/>
      <c r="H41" s="72"/>
      <c r="I41" s="72"/>
      <c r="J41" s="3"/>
      <c r="K41" s="71"/>
      <c r="N41" s="99"/>
    </row>
    <row r="42" spans="2:14" x14ac:dyDescent="0.2">
      <c r="C42" s="72"/>
      <c r="D42" s="290"/>
      <c r="E42" s="72"/>
      <c r="F42" s="72"/>
      <c r="G42" s="72"/>
      <c r="H42" s="72"/>
      <c r="I42" s="72"/>
      <c r="J42" s="3"/>
      <c r="K42" s="71"/>
      <c r="N42" s="99"/>
    </row>
    <row r="43" spans="2:14" x14ac:dyDescent="0.2">
      <c r="B43" s="11"/>
      <c r="C43" s="72"/>
      <c r="D43" s="290"/>
      <c r="E43" s="72"/>
      <c r="F43" s="73"/>
      <c r="G43" s="72"/>
      <c r="H43" s="72"/>
      <c r="I43" s="72"/>
      <c r="J43" s="3"/>
      <c r="K43" s="71"/>
      <c r="N43" s="99"/>
    </row>
    <row r="44" spans="2:14" x14ac:dyDescent="0.2">
      <c r="C44" s="72"/>
      <c r="D44" s="290"/>
      <c r="E44" s="72"/>
      <c r="F44" s="72"/>
      <c r="G44" s="72"/>
      <c r="H44" s="72"/>
      <c r="I44" s="72"/>
      <c r="J44" s="3"/>
      <c r="K44" s="71"/>
      <c r="N44" s="99"/>
    </row>
    <row r="45" spans="2:14" x14ac:dyDescent="0.2">
      <c r="C45" s="72"/>
      <c r="D45" s="290"/>
      <c r="E45" s="72"/>
      <c r="F45" s="72"/>
      <c r="G45" s="72"/>
      <c r="H45" s="72"/>
      <c r="I45" s="72"/>
      <c r="J45" s="3"/>
      <c r="K45" s="71"/>
      <c r="N45" s="99"/>
    </row>
    <row r="46" spans="2:14" x14ac:dyDescent="0.2">
      <c r="C46" s="72"/>
      <c r="D46" s="290"/>
      <c r="E46" s="72"/>
      <c r="F46" s="72"/>
      <c r="G46" s="72"/>
      <c r="H46" s="72"/>
      <c r="I46" s="72"/>
      <c r="J46" s="3"/>
      <c r="K46" s="71"/>
      <c r="N46" s="99"/>
    </row>
    <row r="47" spans="2:14" x14ac:dyDescent="0.2">
      <c r="B47" s="11"/>
      <c r="C47" s="72"/>
      <c r="D47" s="290"/>
      <c r="E47" s="72"/>
      <c r="F47" s="73"/>
      <c r="G47" s="72"/>
      <c r="H47" s="72"/>
      <c r="I47" s="72"/>
      <c r="J47" s="3"/>
      <c r="K47" s="71"/>
      <c r="N47" s="99"/>
    </row>
    <row r="48" spans="2:14" x14ac:dyDescent="0.2">
      <c r="C48" s="72"/>
      <c r="D48" s="290"/>
      <c r="E48" s="72"/>
      <c r="F48" s="72"/>
      <c r="G48" s="72"/>
      <c r="H48" s="72"/>
      <c r="I48" s="72"/>
      <c r="J48" s="3"/>
      <c r="K48" s="71"/>
      <c r="N48" s="99"/>
    </row>
    <row r="49" spans="2:14" x14ac:dyDescent="0.2">
      <c r="C49" s="72"/>
      <c r="D49" s="290"/>
      <c r="E49" s="72"/>
      <c r="F49" s="72"/>
      <c r="G49" s="72"/>
      <c r="H49" s="72"/>
      <c r="I49" s="72"/>
      <c r="J49" s="3"/>
      <c r="K49" s="71"/>
      <c r="N49" s="99"/>
    </row>
    <row r="50" spans="2:14" x14ac:dyDescent="0.2">
      <c r="C50" s="72"/>
      <c r="D50" s="290"/>
      <c r="E50" s="72"/>
      <c r="F50" s="72"/>
      <c r="G50" s="72"/>
      <c r="H50" s="72"/>
      <c r="I50" s="72"/>
      <c r="J50" s="3"/>
      <c r="K50" s="71"/>
      <c r="N50" s="99"/>
    </row>
    <row r="51" spans="2:14" x14ac:dyDescent="0.2">
      <c r="B51" s="11"/>
      <c r="C51" s="72"/>
      <c r="D51" s="290"/>
      <c r="E51" s="72"/>
      <c r="F51" s="73"/>
      <c r="G51" s="72"/>
      <c r="H51" s="72"/>
      <c r="I51" s="72"/>
      <c r="J51" s="3"/>
      <c r="K51" s="71"/>
      <c r="N51" s="99"/>
    </row>
    <row r="52" spans="2:14" x14ac:dyDescent="0.2">
      <c r="C52" s="72"/>
      <c r="D52" s="290"/>
      <c r="E52" s="72"/>
      <c r="F52" s="72"/>
      <c r="G52" s="72"/>
      <c r="H52" s="72"/>
      <c r="I52" s="72"/>
      <c r="J52" s="3"/>
      <c r="K52" s="71"/>
      <c r="N52" s="99"/>
    </row>
    <row r="53" spans="2:14" x14ac:dyDescent="0.2">
      <c r="C53" s="72"/>
      <c r="D53" s="290"/>
      <c r="E53" s="72"/>
      <c r="F53" s="72"/>
      <c r="G53" s="72"/>
      <c r="H53" s="72"/>
      <c r="I53" s="72"/>
      <c r="J53" s="3"/>
      <c r="K53" s="71"/>
      <c r="N53" s="99"/>
    </row>
    <row r="54" spans="2:14" x14ac:dyDescent="0.2">
      <c r="C54" s="72"/>
      <c r="D54" s="290"/>
      <c r="E54" s="72"/>
      <c r="F54" s="72"/>
      <c r="G54" s="72"/>
      <c r="H54" s="72"/>
      <c r="I54" s="72"/>
      <c r="J54" s="3"/>
      <c r="K54" s="71"/>
      <c r="N54" s="99"/>
    </row>
    <row r="55" spans="2:14" x14ac:dyDescent="0.2">
      <c r="B55" s="11"/>
      <c r="C55" s="72"/>
      <c r="D55" s="290"/>
      <c r="E55" s="72"/>
      <c r="F55" s="73"/>
      <c r="G55" s="72"/>
      <c r="H55" s="72"/>
      <c r="I55" s="72"/>
      <c r="J55" s="3"/>
      <c r="K55" s="71"/>
      <c r="N55" s="99"/>
    </row>
    <row r="56" spans="2:14" x14ac:dyDescent="0.2">
      <c r="C56" s="72"/>
      <c r="D56" s="290"/>
      <c r="E56" s="72"/>
      <c r="F56" s="72"/>
      <c r="G56" s="72"/>
      <c r="H56" s="72"/>
      <c r="I56" s="72"/>
      <c r="J56" s="3"/>
      <c r="K56" s="71"/>
      <c r="N56" s="99"/>
    </row>
    <row r="57" spans="2:14" x14ac:dyDescent="0.2">
      <c r="C57" s="72"/>
      <c r="D57" s="290"/>
      <c r="E57" s="72"/>
      <c r="F57" s="72"/>
      <c r="G57" s="72"/>
      <c r="H57" s="72"/>
      <c r="I57" s="72"/>
      <c r="J57" s="3"/>
      <c r="K57" s="71"/>
      <c r="N57" s="99"/>
    </row>
    <row r="58" spans="2:14" x14ac:dyDescent="0.2">
      <c r="C58" s="72"/>
      <c r="D58" s="290"/>
      <c r="E58" s="72"/>
      <c r="F58" s="72"/>
      <c r="G58" s="72"/>
      <c r="H58" s="72"/>
      <c r="I58" s="72"/>
      <c r="J58" s="3"/>
      <c r="K58" s="71"/>
      <c r="N58" s="99"/>
    </row>
    <row r="59" spans="2:14" x14ac:dyDescent="0.2">
      <c r="B59" s="11"/>
      <c r="C59" s="72"/>
      <c r="D59" s="290"/>
      <c r="E59" s="72"/>
      <c r="F59" s="73"/>
      <c r="G59" s="72"/>
      <c r="H59" s="72"/>
      <c r="I59" s="72"/>
      <c r="J59" s="3"/>
      <c r="K59" s="71"/>
      <c r="N59" s="99"/>
    </row>
    <row r="60" spans="2:14" x14ac:dyDescent="0.2">
      <c r="C60" s="72"/>
      <c r="D60" s="290"/>
      <c r="E60" s="72"/>
      <c r="F60" s="72"/>
      <c r="G60" s="72"/>
      <c r="H60" s="72"/>
      <c r="I60" s="72"/>
      <c r="J60" s="3"/>
      <c r="K60" s="71"/>
      <c r="N60" s="99"/>
    </row>
    <row r="61" spans="2:14" x14ac:dyDescent="0.2">
      <c r="C61" s="72"/>
      <c r="D61" s="290"/>
      <c r="E61" s="72"/>
      <c r="F61" s="72"/>
      <c r="G61" s="72"/>
      <c r="H61" s="72"/>
      <c r="I61" s="72"/>
      <c r="J61" s="3"/>
      <c r="K61" s="71"/>
      <c r="N61" s="99"/>
    </row>
    <row r="62" spans="2:14" x14ac:dyDescent="0.2">
      <c r="C62" s="72"/>
      <c r="D62" s="290"/>
      <c r="E62" s="72"/>
      <c r="F62" s="72"/>
      <c r="G62" s="72"/>
      <c r="H62" s="72"/>
      <c r="I62" s="72"/>
      <c r="J62" s="3"/>
      <c r="K62" s="71"/>
      <c r="N62" s="99"/>
    </row>
    <row r="63" spans="2:14" x14ac:dyDescent="0.2">
      <c r="B63" s="11"/>
      <c r="C63" s="72"/>
      <c r="D63" s="290"/>
      <c r="E63" s="72"/>
      <c r="F63" s="73"/>
      <c r="G63" s="72"/>
      <c r="H63" s="72"/>
      <c r="I63" s="72"/>
      <c r="J63" s="3"/>
      <c r="K63" s="71"/>
      <c r="N63" s="99"/>
    </row>
    <row r="64" spans="2:14" x14ac:dyDescent="0.2">
      <c r="C64" s="72"/>
      <c r="D64" s="290"/>
      <c r="E64" s="72"/>
      <c r="F64" s="72"/>
      <c r="G64" s="72"/>
      <c r="H64" s="72"/>
      <c r="I64" s="72"/>
      <c r="J64" s="3"/>
      <c r="K64" s="71"/>
      <c r="N64" s="99"/>
    </row>
    <row r="65" spans="2:14" x14ac:dyDescent="0.2">
      <c r="C65" s="72"/>
      <c r="D65" s="290"/>
      <c r="E65" s="72"/>
      <c r="F65" s="72"/>
      <c r="G65" s="72"/>
      <c r="H65" s="72"/>
      <c r="I65" s="72"/>
      <c r="J65" s="3"/>
      <c r="K65" s="71"/>
      <c r="N65" s="99"/>
    </row>
    <row r="66" spans="2:14" x14ac:dyDescent="0.2">
      <c r="C66" s="72"/>
      <c r="D66" s="290"/>
      <c r="E66" s="72"/>
      <c r="F66" s="72"/>
      <c r="G66" s="72"/>
      <c r="H66" s="72"/>
      <c r="I66" s="72"/>
      <c r="J66" s="3"/>
      <c r="K66" s="71"/>
      <c r="N66" s="99"/>
    </row>
    <row r="67" spans="2:14" x14ac:dyDescent="0.2">
      <c r="B67" s="11"/>
      <c r="C67" s="72"/>
      <c r="D67" s="290"/>
      <c r="E67" s="72"/>
      <c r="F67" s="73"/>
      <c r="G67" s="72"/>
      <c r="H67" s="72"/>
      <c r="I67" s="72"/>
      <c r="J67" s="3"/>
      <c r="K67" s="71"/>
      <c r="N67" s="99"/>
    </row>
    <row r="68" spans="2:14" x14ac:dyDescent="0.2">
      <c r="C68" s="72"/>
      <c r="D68" s="290"/>
      <c r="E68" s="72"/>
      <c r="F68" s="72"/>
      <c r="G68" s="72"/>
      <c r="H68" s="72"/>
      <c r="I68" s="72"/>
      <c r="J68" s="3"/>
      <c r="K68" s="71"/>
      <c r="N68" s="99"/>
    </row>
    <row r="69" spans="2:14" x14ac:dyDescent="0.2">
      <c r="C69" s="72"/>
      <c r="D69" s="290"/>
      <c r="E69" s="72"/>
      <c r="F69" s="72"/>
      <c r="G69" s="72"/>
      <c r="H69" s="72"/>
      <c r="I69" s="72"/>
      <c r="J69" s="3"/>
      <c r="K69" s="71"/>
      <c r="N69" s="99"/>
    </row>
    <row r="70" spans="2:14" x14ac:dyDescent="0.2">
      <c r="C70" s="72"/>
      <c r="D70" s="290"/>
      <c r="E70" s="72"/>
      <c r="F70" s="72"/>
      <c r="G70" s="72"/>
      <c r="H70" s="72"/>
      <c r="I70" s="72"/>
      <c r="J70" s="3"/>
      <c r="K70" s="71"/>
      <c r="N70" s="99"/>
    </row>
    <row r="71" spans="2:14" x14ac:dyDescent="0.2">
      <c r="B71" s="11"/>
      <c r="C71" s="72"/>
      <c r="D71" s="290"/>
      <c r="E71" s="72"/>
      <c r="F71" s="73"/>
      <c r="G71" s="72"/>
      <c r="H71" s="72"/>
      <c r="I71" s="72"/>
      <c r="J71" s="3"/>
      <c r="K71" s="71"/>
      <c r="N71" s="99"/>
    </row>
    <row r="72" spans="2:14" x14ac:dyDescent="0.2">
      <c r="C72" s="72"/>
      <c r="D72" s="290"/>
      <c r="E72" s="72"/>
      <c r="F72" s="72"/>
      <c r="G72" s="72"/>
      <c r="H72" s="72"/>
      <c r="I72" s="72"/>
      <c r="J72" s="3"/>
      <c r="K72" s="71"/>
      <c r="N72" s="99"/>
    </row>
    <row r="73" spans="2:14" x14ac:dyDescent="0.2">
      <c r="C73" s="72"/>
      <c r="D73" s="72"/>
      <c r="E73" s="72"/>
      <c r="F73" s="72"/>
      <c r="G73" s="72"/>
      <c r="H73" s="72"/>
      <c r="I73" s="72"/>
      <c r="J73" s="3"/>
      <c r="K73" s="71"/>
      <c r="N73" s="99"/>
    </row>
    <row r="74" spans="2:14" x14ac:dyDescent="0.2">
      <c r="C74" s="72"/>
      <c r="D74" s="72"/>
      <c r="E74" s="72"/>
      <c r="F74" s="72"/>
      <c r="G74" s="72"/>
      <c r="H74" s="72"/>
      <c r="I74" s="72"/>
      <c r="J74" s="3"/>
      <c r="K74" s="71"/>
      <c r="N74" s="99"/>
    </row>
    <row r="75" spans="2:14" x14ac:dyDescent="0.2">
      <c r="B75" s="11"/>
      <c r="C75" s="72"/>
      <c r="D75" s="290"/>
      <c r="E75" s="72"/>
      <c r="F75" s="73"/>
      <c r="G75" s="72"/>
      <c r="H75" s="72"/>
      <c r="I75" s="72"/>
      <c r="J75" s="3"/>
      <c r="K75" s="71"/>
      <c r="N75" s="99"/>
    </row>
    <row r="76" spans="2:14" x14ac:dyDescent="0.2">
      <c r="C76" s="72"/>
      <c r="D76" s="290"/>
      <c r="E76" s="72"/>
      <c r="F76" s="72"/>
      <c r="G76" s="72"/>
      <c r="H76" s="72"/>
      <c r="I76" s="72"/>
      <c r="J76" s="3"/>
      <c r="K76" s="71"/>
      <c r="N76" s="99"/>
    </row>
    <row r="77" spans="2:14" x14ac:dyDescent="0.2">
      <c r="C77" s="72"/>
      <c r="D77" s="290"/>
      <c r="E77" s="72"/>
      <c r="F77" s="72"/>
      <c r="G77" s="72"/>
      <c r="H77" s="72"/>
      <c r="I77" s="72"/>
      <c r="J77" s="3"/>
      <c r="K77" s="71"/>
      <c r="N77" s="99"/>
    </row>
    <row r="78" spans="2:14" x14ac:dyDescent="0.2">
      <c r="C78" s="72"/>
      <c r="D78" s="290"/>
      <c r="E78" s="72"/>
      <c r="F78" s="72"/>
      <c r="G78" s="72"/>
      <c r="H78" s="72"/>
      <c r="I78" s="72"/>
      <c r="J78" s="3"/>
      <c r="K78" s="71"/>
      <c r="N78" s="99"/>
    </row>
    <row r="79" spans="2:14" x14ac:dyDescent="0.2">
      <c r="B79" s="11"/>
      <c r="C79" s="72"/>
      <c r="D79" s="290"/>
      <c r="E79" s="72"/>
      <c r="F79" s="73"/>
      <c r="G79" s="72"/>
      <c r="H79" s="72"/>
      <c r="I79" s="72"/>
      <c r="J79" s="3"/>
      <c r="K79" s="71"/>
      <c r="N79" s="99"/>
    </row>
    <row r="80" spans="2:14" x14ac:dyDescent="0.2">
      <c r="C80" s="72"/>
      <c r="D80" s="290"/>
      <c r="E80" s="72"/>
      <c r="F80" s="72"/>
      <c r="G80" s="72"/>
      <c r="H80" s="72"/>
      <c r="I80" s="72"/>
      <c r="J80" s="3"/>
      <c r="K80" s="71"/>
      <c r="N80" s="99"/>
    </row>
    <row r="81" spans="2:14" x14ac:dyDescent="0.2">
      <c r="C81" s="72"/>
      <c r="D81" s="72"/>
      <c r="E81" s="72"/>
      <c r="F81" s="72"/>
      <c r="G81" s="72"/>
      <c r="H81" s="72"/>
      <c r="I81" s="72"/>
      <c r="J81" s="3"/>
      <c r="K81" s="71"/>
      <c r="N81" s="99"/>
    </row>
    <row r="82" spans="2:14" x14ac:dyDescent="0.2">
      <c r="C82" s="72"/>
      <c r="D82" s="72"/>
      <c r="E82" s="72"/>
      <c r="F82" s="72"/>
      <c r="G82" s="72"/>
      <c r="H82" s="72"/>
      <c r="I82" s="72"/>
      <c r="J82" s="3"/>
      <c r="K82" s="71"/>
      <c r="N82" s="99"/>
    </row>
    <row r="83" spans="2:14" x14ac:dyDescent="0.2">
      <c r="B83" s="11"/>
      <c r="C83" s="72"/>
      <c r="D83" s="290"/>
      <c r="E83" s="72"/>
      <c r="F83" s="73"/>
      <c r="G83" s="72"/>
      <c r="H83" s="72"/>
      <c r="I83" s="72"/>
      <c r="J83" s="3"/>
      <c r="K83" s="71"/>
      <c r="N83" s="99"/>
    </row>
    <row r="84" spans="2:14" x14ac:dyDescent="0.2">
      <c r="C84" s="72"/>
      <c r="D84" s="290"/>
      <c r="E84" s="72"/>
      <c r="F84" s="72"/>
      <c r="G84" s="72"/>
      <c r="H84" s="72"/>
      <c r="I84" s="72"/>
      <c r="J84" s="3"/>
      <c r="K84" s="71"/>
      <c r="N84" s="99"/>
    </row>
  </sheetData>
  <mergeCells count="3">
    <mergeCell ref="N4:Q4"/>
    <mergeCell ref="J4:M4"/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79998168889431442"/>
  </sheetPr>
  <dimension ref="A3:J7"/>
  <sheetViews>
    <sheetView workbookViewId="0"/>
  </sheetViews>
  <sheetFormatPr baseColWidth="10" defaultRowHeight="12.75" x14ac:dyDescent="0.2"/>
  <cols>
    <col min="2" max="2" width="3.85546875" bestFit="1" customWidth="1"/>
    <col min="3" max="3" width="12.28515625" bestFit="1" customWidth="1"/>
    <col min="4" max="4" width="20.42578125" bestFit="1" customWidth="1"/>
    <col min="5" max="5" width="13" bestFit="1" customWidth="1"/>
    <col min="6" max="6" width="19.7109375" bestFit="1" customWidth="1"/>
    <col min="7" max="7" width="15.85546875" bestFit="1" customWidth="1"/>
    <col min="8" max="8" width="16.140625" bestFit="1" customWidth="1"/>
    <col min="9" max="9" width="24.85546875" bestFit="1" customWidth="1"/>
    <col min="10" max="10" width="17" bestFit="1" customWidth="1"/>
  </cols>
  <sheetData>
    <row r="3" spans="1:10" x14ac:dyDescent="0.2">
      <c r="D3" s="100" t="str">
        <f>IFERROR(D6/$I$6,"")</f>
        <v/>
      </c>
      <c r="E3" s="100" t="str">
        <f>IFERROR(E6/$I$6,"")</f>
        <v/>
      </c>
      <c r="F3" s="100" t="str">
        <f t="shared" ref="F3:H3" si="0">IFERROR(F6/$I$6,"")</f>
        <v/>
      </c>
      <c r="G3" s="100" t="str">
        <f t="shared" si="0"/>
        <v/>
      </c>
      <c r="H3" s="100" t="str">
        <f t="shared" si="0"/>
        <v/>
      </c>
      <c r="I3" s="93"/>
    </row>
    <row r="4" spans="1:10" x14ac:dyDescent="0.2">
      <c r="B4" s="15" t="s">
        <v>131</v>
      </c>
      <c r="C4" s="428"/>
      <c r="D4" s="429"/>
      <c r="E4" s="430"/>
      <c r="F4" s="70"/>
      <c r="G4" s="70"/>
      <c r="H4" s="70"/>
      <c r="I4" s="81"/>
      <c r="J4" s="81"/>
    </row>
    <row r="5" spans="1:10" x14ac:dyDescent="0.2">
      <c r="A5" s="72"/>
      <c r="B5" s="81"/>
      <c r="C5" s="81"/>
      <c r="D5" s="81"/>
      <c r="E5" s="81"/>
      <c r="F5" s="81"/>
      <c r="G5" s="81"/>
      <c r="H5" s="81"/>
      <c r="I5" s="81"/>
      <c r="J5" s="81"/>
    </row>
    <row r="6" spans="1:10" x14ac:dyDescent="0.2">
      <c r="D6" s="68"/>
      <c r="E6" s="68"/>
      <c r="F6" s="68"/>
      <c r="G6" s="68"/>
      <c r="H6" s="68"/>
      <c r="I6" s="105"/>
      <c r="J6" s="88"/>
    </row>
    <row r="7" spans="1:10" x14ac:dyDescent="0.2">
      <c r="D7" s="93"/>
      <c r="E7" s="93"/>
      <c r="F7" s="93"/>
      <c r="G7" s="93"/>
      <c r="H7" s="93"/>
      <c r="I7" s="68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79998168889431442"/>
  </sheetPr>
  <dimension ref="B4:K84"/>
  <sheetViews>
    <sheetView workbookViewId="0"/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4.140625" bestFit="1" customWidth="1"/>
    <col min="5" max="5" width="9.5703125" bestFit="1" customWidth="1"/>
    <col min="6" max="6" width="10.85546875" bestFit="1" customWidth="1"/>
    <col min="7" max="7" width="32.42578125" bestFit="1" customWidth="1"/>
    <col min="8" max="8" width="6.7109375" bestFit="1" customWidth="1"/>
    <col min="9" max="9" width="8.28515625" bestFit="1" customWidth="1"/>
    <col min="10" max="10" width="14.28515625" bestFit="1" customWidth="1"/>
    <col min="11" max="11" width="27.140625" bestFit="1" customWidth="1"/>
  </cols>
  <sheetData>
    <row r="4" spans="2:11" x14ac:dyDescent="0.2">
      <c r="B4" s="15" t="s">
        <v>131</v>
      </c>
      <c r="C4" s="428"/>
      <c r="D4" s="429"/>
      <c r="E4" s="429"/>
      <c r="F4" s="429"/>
      <c r="G4" s="429"/>
      <c r="H4" s="429"/>
      <c r="I4" s="429"/>
      <c r="J4" s="430"/>
      <c r="K4" s="71"/>
    </row>
    <row r="5" spans="2:11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71"/>
    </row>
    <row r="6" spans="2:11" x14ac:dyDescent="0.2">
      <c r="B6" s="11"/>
      <c r="C6" s="72"/>
      <c r="D6" s="123"/>
      <c r="E6" s="72"/>
      <c r="F6" s="73"/>
      <c r="G6" s="72"/>
      <c r="H6" s="72"/>
      <c r="I6" s="72"/>
    </row>
    <row r="7" spans="2:11" x14ac:dyDescent="0.2">
      <c r="B7" s="11"/>
      <c r="C7" s="72"/>
      <c r="D7" s="123"/>
      <c r="E7" s="72"/>
      <c r="F7" s="73"/>
      <c r="G7" s="72"/>
      <c r="H7" s="72"/>
      <c r="I7" s="72"/>
      <c r="J7" s="3"/>
      <c r="K7" s="71"/>
    </row>
    <row r="8" spans="2:11" x14ac:dyDescent="0.2">
      <c r="B8" s="11"/>
      <c r="C8" s="72"/>
      <c r="D8" s="123"/>
      <c r="E8" s="72"/>
      <c r="F8" s="73"/>
      <c r="G8" s="72"/>
      <c r="H8" s="72"/>
      <c r="I8" s="72"/>
      <c r="J8" s="3"/>
      <c r="K8" s="71"/>
    </row>
    <row r="9" spans="2:11" x14ac:dyDescent="0.2">
      <c r="B9" s="11"/>
      <c r="C9" s="72"/>
      <c r="D9" s="123"/>
      <c r="E9" s="72"/>
      <c r="F9" s="73"/>
      <c r="G9" s="72"/>
      <c r="H9" s="72"/>
      <c r="I9" s="72"/>
    </row>
    <row r="10" spans="2:11" x14ac:dyDescent="0.2">
      <c r="B10" s="11"/>
      <c r="C10" s="72"/>
      <c r="D10" s="123"/>
      <c r="E10" s="72"/>
      <c r="F10" s="73"/>
      <c r="G10" s="72"/>
      <c r="H10" s="72"/>
      <c r="I10" s="72"/>
      <c r="J10" s="3"/>
      <c r="K10" s="71"/>
    </row>
    <row r="11" spans="2:11" x14ac:dyDescent="0.2">
      <c r="B11" s="11"/>
      <c r="C11" s="72"/>
      <c r="D11" s="123"/>
      <c r="E11" s="72"/>
      <c r="F11" s="73"/>
      <c r="G11" s="72"/>
      <c r="H11" s="72"/>
      <c r="I11" s="72"/>
      <c r="J11" s="3"/>
      <c r="K11" s="71"/>
    </row>
    <row r="12" spans="2:11" x14ac:dyDescent="0.2">
      <c r="B12" s="11"/>
      <c r="C12" s="72"/>
      <c r="D12" s="123"/>
      <c r="E12" s="72"/>
      <c r="F12" s="73"/>
      <c r="G12" s="72"/>
      <c r="H12" s="72"/>
      <c r="I12" s="72"/>
    </row>
    <row r="13" spans="2:11" x14ac:dyDescent="0.2">
      <c r="B13" s="11"/>
      <c r="C13" s="72"/>
      <c r="D13" s="123"/>
      <c r="E13" s="72"/>
      <c r="F13" s="73"/>
      <c r="G13" s="72"/>
      <c r="H13" s="72"/>
      <c r="I13" s="72"/>
      <c r="J13" s="3"/>
      <c r="K13" s="71"/>
    </row>
    <row r="14" spans="2:11" x14ac:dyDescent="0.2">
      <c r="B14" s="11"/>
      <c r="C14" s="72"/>
      <c r="D14" s="123"/>
      <c r="E14" s="72"/>
      <c r="F14" s="73"/>
      <c r="G14" s="72"/>
      <c r="H14" s="72"/>
      <c r="I14" s="72"/>
      <c r="J14" s="3"/>
      <c r="K14" s="71"/>
    </row>
    <row r="15" spans="2:11" x14ac:dyDescent="0.2">
      <c r="B15" s="11"/>
      <c r="C15" s="72"/>
      <c r="D15" s="123"/>
      <c r="E15" s="72"/>
      <c r="F15" s="73"/>
      <c r="G15" s="72"/>
      <c r="H15" s="72"/>
      <c r="I15" s="72"/>
    </row>
    <row r="16" spans="2:11" x14ac:dyDescent="0.2">
      <c r="B16" s="11"/>
      <c r="C16" s="72"/>
      <c r="D16" s="123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3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3"/>
      <c r="E18" s="72"/>
      <c r="F18" s="73"/>
      <c r="G18" s="72"/>
      <c r="H18" s="72"/>
      <c r="I18" s="72"/>
    </row>
    <row r="19" spans="2:11" x14ac:dyDescent="0.2">
      <c r="B19" s="11"/>
      <c r="C19" s="72"/>
      <c r="D19" s="123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3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3"/>
      <c r="E21" s="72"/>
      <c r="F21" s="73"/>
      <c r="G21" s="72"/>
      <c r="H21" s="72"/>
      <c r="I21" s="72"/>
    </row>
    <row r="22" spans="2:11" x14ac:dyDescent="0.2">
      <c r="B22" s="11"/>
      <c r="C22" s="72"/>
      <c r="D22" s="123"/>
      <c r="E22" s="72"/>
      <c r="F22" s="73"/>
      <c r="G22" s="72"/>
      <c r="H22" s="72"/>
      <c r="I22" s="72"/>
      <c r="J22" s="3"/>
      <c r="K22" s="71"/>
    </row>
    <row r="23" spans="2:11" x14ac:dyDescent="0.2">
      <c r="B23" s="11"/>
      <c r="C23" s="72"/>
      <c r="D23" s="123"/>
      <c r="E23" s="72"/>
      <c r="F23" s="73"/>
      <c r="G23" s="72"/>
      <c r="H23" s="72"/>
      <c r="I23" s="72"/>
      <c r="J23" s="3"/>
      <c r="K23" s="71"/>
    </row>
    <row r="24" spans="2:11" x14ac:dyDescent="0.2">
      <c r="B24" s="11"/>
      <c r="C24" s="72"/>
      <c r="D24" s="123"/>
      <c r="E24" s="72"/>
      <c r="F24" s="73"/>
      <c r="G24" s="72"/>
      <c r="H24" s="72"/>
      <c r="I24" s="72"/>
    </row>
    <row r="25" spans="2:11" x14ac:dyDescent="0.2">
      <c r="B25" s="11"/>
      <c r="C25" s="72"/>
      <c r="D25" s="123"/>
      <c r="E25" s="72"/>
      <c r="F25" s="73"/>
      <c r="G25" s="72"/>
      <c r="H25" s="72"/>
      <c r="I25" s="72"/>
      <c r="J25" s="3"/>
      <c r="K25" s="71"/>
    </row>
    <row r="26" spans="2:11" x14ac:dyDescent="0.2">
      <c r="B26" s="11"/>
      <c r="C26" s="72"/>
      <c r="D26" s="123"/>
      <c r="E26" s="72"/>
      <c r="F26" s="73"/>
      <c r="G26" s="72"/>
      <c r="H26" s="72"/>
      <c r="I26" s="72"/>
      <c r="J26" s="3"/>
      <c r="K26" s="71"/>
    </row>
    <row r="27" spans="2:11" x14ac:dyDescent="0.2">
      <c r="B27" s="11"/>
      <c r="C27" s="72"/>
      <c r="D27" s="123"/>
      <c r="E27" s="72"/>
      <c r="F27" s="73"/>
      <c r="G27" s="72"/>
      <c r="H27" s="72"/>
      <c r="I27" s="72"/>
    </row>
    <row r="28" spans="2:11" x14ac:dyDescent="0.2">
      <c r="B28" s="11"/>
      <c r="C28" s="72"/>
      <c r="D28" s="123"/>
      <c r="E28" s="72"/>
      <c r="F28" s="73"/>
      <c r="G28" s="72"/>
      <c r="H28" s="72"/>
      <c r="I28" s="72"/>
      <c r="J28" s="3"/>
      <c r="K28" s="71"/>
    </row>
    <row r="29" spans="2:11" x14ac:dyDescent="0.2">
      <c r="B29" s="11"/>
      <c r="C29" s="72"/>
      <c r="D29" s="123"/>
      <c r="E29" s="72"/>
      <c r="F29" s="73"/>
      <c r="G29" s="72"/>
      <c r="H29" s="72"/>
      <c r="I29" s="72"/>
      <c r="J29" s="3"/>
      <c r="K29" s="71"/>
    </row>
    <row r="30" spans="2:11" x14ac:dyDescent="0.2">
      <c r="B30" s="11"/>
      <c r="C30" s="72"/>
      <c r="D30" s="123"/>
      <c r="E30" s="72"/>
      <c r="F30" s="73"/>
      <c r="G30" s="72"/>
      <c r="H30" s="72"/>
      <c r="I30" s="72"/>
    </row>
    <row r="31" spans="2:11" x14ac:dyDescent="0.2">
      <c r="B31" s="11"/>
      <c r="C31" s="72"/>
      <c r="D31" s="123"/>
      <c r="E31" s="72"/>
      <c r="F31" s="73"/>
      <c r="G31" s="72"/>
      <c r="H31" s="72"/>
      <c r="I31" s="72"/>
      <c r="J31" s="3"/>
      <c r="K31" s="71"/>
    </row>
    <row r="32" spans="2:11" x14ac:dyDescent="0.2">
      <c r="B32" s="11"/>
      <c r="C32" s="72"/>
      <c r="D32" s="123"/>
      <c r="E32" s="72"/>
      <c r="F32" s="73"/>
      <c r="G32" s="72"/>
      <c r="H32" s="72"/>
      <c r="I32" s="72"/>
      <c r="J32" s="3"/>
      <c r="K32" s="71"/>
    </row>
    <row r="33" spans="2:11" x14ac:dyDescent="0.2">
      <c r="B33" s="11"/>
      <c r="C33" s="72"/>
      <c r="D33" s="123"/>
      <c r="E33" s="72"/>
      <c r="F33" s="73"/>
      <c r="G33" s="72"/>
      <c r="H33" s="72"/>
      <c r="I33" s="72"/>
    </row>
    <row r="34" spans="2:11" x14ac:dyDescent="0.2">
      <c r="B34" s="11"/>
      <c r="C34" s="72"/>
      <c r="D34" s="123"/>
      <c r="E34" s="72"/>
      <c r="F34" s="73"/>
      <c r="G34" s="72"/>
      <c r="H34" s="72"/>
      <c r="I34" s="72"/>
      <c r="J34" s="3"/>
      <c r="K34" s="71"/>
    </row>
    <row r="35" spans="2:11" x14ac:dyDescent="0.2">
      <c r="B35" s="11"/>
      <c r="C35" s="72"/>
      <c r="D35" s="123"/>
      <c r="E35" s="72"/>
      <c r="F35" s="73"/>
      <c r="G35" s="72"/>
      <c r="H35" s="72"/>
      <c r="I35" s="72"/>
      <c r="J35" s="3"/>
      <c r="K35" s="71"/>
    </row>
    <row r="36" spans="2:11" x14ac:dyDescent="0.2">
      <c r="B36" s="11"/>
      <c r="C36" s="72"/>
      <c r="D36" s="123"/>
      <c r="E36" s="72"/>
      <c r="F36" s="73"/>
      <c r="G36" s="72"/>
      <c r="H36" s="72"/>
      <c r="I36" s="72"/>
    </row>
    <row r="37" spans="2:11" x14ac:dyDescent="0.2">
      <c r="B37" s="11"/>
      <c r="C37" s="72"/>
      <c r="D37" s="123"/>
      <c r="E37" s="72"/>
      <c r="F37" s="73"/>
      <c r="G37" s="72"/>
      <c r="H37" s="72"/>
      <c r="I37" s="72"/>
      <c r="J37" s="3"/>
      <c r="K37" s="71"/>
    </row>
    <row r="38" spans="2:11" x14ac:dyDescent="0.2">
      <c r="B38" s="11"/>
      <c r="C38" s="72"/>
      <c r="D38" s="123"/>
      <c r="E38" s="72"/>
      <c r="F38" s="73"/>
      <c r="G38" s="72"/>
      <c r="H38" s="72"/>
      <c r="I38" s="72"/>
      <c r="J38" s="3"/>
      <c r="K38" s="71"/>
    </row>
    <row r="39" spans="2:11" x14ac:dyDescent="0.2">
      <c r="B39" s="11"/>
      <c r="C39" s="72"/>
      <c r="D39" s="123"/>
      <c r="E39" s="72"/>
      <c r="F39" s="73"/>
      <c r="G39" s="72"/>
      <c r="H39" s="72"/>
      <c r="I39" s="72"/>
    </row>
    <row r="40" spans="2:11" x14ac:dyDescent="0.2">
      <c r="B40" s="11"/>
      <c r="C40" s="72"/>
      <c r="D40" s="123"/>
      <c r="E40" s="72"/>
      <c r="F40" s="73"/>
      <c r="G40" s="72"/>
      <c r="H40" s="72"/>
      <c r="I40" s="72"/>
      <c r="J40" s="3"/>
      <c r="K40" s="71"/>
    </row>
    <row r="41" spans="2:11" x14ac:dyDescent="0.2">
      <c r="B41" s="11"/>
      <c r="C41" s="72"/>
      <c r="D41" s="123"/>
      <c r="E41" s="72"/>
      <c r="F41" s="73"/>
      <c r="G41" s="72"/>
      <c r="H41" s="72"/>
      <c r="I41" s="72"/>
      <c r="J41" s="3"/>
      <c r="K41" s="71"/>
    </row>
    <row r="42" spans="2:11" x14ac:dyDescent="0.2">
      <c r="B42" s="11"/>
      <c r="C42" s="72"/>
      <c r="D42" s="123"/>
      <c r="E42" s="72"/>
      <c r="F42" s="73"/>
      <c r="G42" s="72"/>
      <c r="H42" s="72"/>
      <c r="I42" s="72"/>
    </row>
    <row r="43" spans="2:11" x14ac:dyDescent="0.2">
      <c r="B43" s="11"/>
      <c r="C43" s="72"/>
      <c r="D43" s="123"/>
      <c r="E43" s="72"/>
      <c r="F43" s="73"/>
      <c r="G43" s="72"/>
      <c r="H43" s="72"/>
      <c r="I43" s="72"/>
      <c r="J43" s="3"/>
      <c r="K43" s="71"/>
    </row>
    <row r="44" spans="2:11" x14ac:dyDescent="0.2">
      <c r="B44" s="11"/>
      <c r="C44" s="72"/>
      <c r="D44" s="123"/>
      <c r="E44" s="72"/>
      <c r="F44" s="73"/>
      <c r="G44" s="72"/>
      <c r="H44" s="72"/>
      <c r="I44" s="72"/>
      <c r="J44" s="3"/>
      <c r="K44" s="71"/>
    </row>
    <row r="45" spans="2:11" x14ac:dyDescent="0.2">
      <c r="B45" s="11"/>
      <c r="C45" s="72"/>
      <c r="D45" s="123"/>
      <c r="E45" s="72"/>
      <c r="F45" s="73"/>
      <c r="G45" s="72"/>
      <c r="H45" s="72"/>
      <c r="I45" s="72"/>
    </row>
    <row r="46" spans="2:11" x14ac:dyDescent="0.2">
      <c r="B46" s="11"/>
      <c r="C46" s="72"/>
      <c r="D46" s="123"/>
      <c r="E46" s="72"/>
      <c r="F46" s="73"/>
      <c r="G46" s="72"/>
      <c r="H46" s="72"/>
      <c r="I46" s="72"/>
      <c r="J46" s="3"/>
      <c r="K46" s="71"/>
    </row>
    <row r="47" spans="2:11" x14ac:dyDescent="0.2">
      <c r="B47" s="11"/>
      <c r="C47" s="72"/>
      <c r="D47" s="123"/>
      <c r="E47" s="72"/>
      <c r="F47" s="73"/>
      <c r="G47" s="72"/>
      <c r="H47" s="72"/>
      <c r="I47" s="72"/>
      <c r="J47" s="3"/>
      <c r="K47" s="71"/>
    </row>
    <row r="48" spans="2:11" x14ac:dyDescent="0.2">
      <c r="B48" s="11"/>
      <c r="C48" s="72"/>
      <c r="D48" s="123"/>
      <c r="E48" s="72"/>
      <c r="F48" s="73"/>
      <c r="G48" s="72"/>
      <c r="H48" s="72"/>
      <c r="I48" s="72"/>
    </row>
    <row r="49" spans="2:11" x14ac:dyDescent="0.2">
      <c r="B49" s="11"/>
      <c r="C49" s="72"/>
      <c r="D49" s="123"/>
      <c r="E49" s="72"/>
      <c r="F49" s="73"/>
      <c r="G49" s="72"/>
      <c r="H49" s="72"/>
      <c r="I49" s="72"/>
      <c r="J49" s="3"/>
      <c r="K49" s="71"/>
    </row>
    <row r="50" spans="2:11" x14ac:dyDescent="0.2">
      <c r="B50" s="11"/>
      <c r="C50" s="72"/>
      <c r="D50" s="123"/>
      <c r="E50" s="72"/>
      <c r="F50" s="73"/>
      <c r="G50" s="72"/>
      <c r="H50" s="72"/>
      <c r="I50" s="72"/>
      <c r="J50" s="3"/>
      <c r="K50" s="71"/>
    </row>
    <row r="51" spans="2:11" x14ac:dyDescent="0.2">
      <c r="B51" s="11"/>
      <c r="C51" s="72"/>
      <c r="D51" s="123"/>
      <c r="E51" s="72"/>
      <c r="F51" s="73"/>
      <c r="G51" s="72"/>
      <c r="H51" s="72"/>
      <c r="I51" s="72"/>
    </row>
    <row r="52" spans="2:11" x14ac:dyDescent="0.2">
      <c r="B52" s="11"/>
      <c r="C52" s="72"/>
      <c r="D52" s="123"/>
      <c r="E52" s="72"/>
      <c r="F52" s="73"/>
      <c r="G52" s="72"/>
      <c r="H52" s="72"/>
      <c r="I52" s="72"/>
      <c r="J52" s="3"/>
      <c r="K52" s="71"/>
    </row>
    <row r="53" spans="2:11" x14ac:dyDescent="0.2">
      <c r="B53" s="11"/>
      <c r="C53" s="72"/>
      <c r="D53" s="123"/>
      <c r="E53" s="72"/>
      <c r="F53" s="73"/>
      <c r="G53" s="72"/>
      <c r="H53" s="72"/>
      <c r="I53" s="72"/>
      <c r="J53" s="3"/>
      <c r="K53" s="71"/>
    </row>
    <row r="54" spans="2:11" x14ac:dyDescent="0.2">
      <c r="C54" s="72"/>
      <c r="D54" s="72"/>
      <c r="E54" s="72"/>
      <c r="F54" s="72"/>
      <c r="G54" s="72"/>
      <c r="H54" s="72"/>
      <c r="I54" s="72"/>
      <c r="J54" s="3"/>
      <c r="K54" s="71"/>
    </row>
    <row r="55" spans="2:11" x14ac:dyDescent="0.2">
      <c r="B55" s="11"/>
      <c r="C55" s="72"/>
      <c r="D55" s="72"/>
      <c r="E55" s="72"/>
      <c r="F55" s="73"/>
      <c r="G55" s="72"/>
      <c r="H55" s="72"/>
      <c r="I55" s="72"/>
      <c r="J55" s="3"/>
      <c r="K55" s="71"/>
    </row>
    <row r="56" spans="2:11" x14ac:dyDescent="0.2">
      <c r="C56" s="72"/>
      <c r="D56" s="72"/>
      <c r="E56" s="72"/>
      <c r="F56" s="72"/>
      <c r="G56" s="72"/>
      <c r="H56" s="72"/>
      <c r="I56" s="72"/>
      <c r="J56" s="3"/>
      <c r="K56" s="71"/>
    </row>
    <row r="57" spans="2:11" x14ac:dyDescent="0.2">
      <c r="C57" s="72"/>
      <c r="D57" s="72"/>
      <c r="E57" s="72"/>
      <c r="F57" s="72"/>
      <c r="G57" s="72"/>
      <c r="H57" s="72"/>
      <c r="I57" s="72"/>
      <c r="J57" s="3"/>
      <c r="K57" s="71"/>
    </row>
    <row r="58" spans="2:11" x14ac:dyDescent="0.2">
      <c r="C58" s="72"/>
      <c r="D58" s="72"/>
      <c r="E58" s="72"/>
      <c r="F58" s="72"/>
      <c r="G58" s="72"/>
      <c r="H58" s="72"/>
      <c r="I58" s="72"/>
      <c r="J58" s="3"/>
      <c r="K58" s="71"/>
    </row>
    <row r="59" spans="2:11" x14ac:dyDescent="0.2">
      <c r="B59" s="11"/>
      <c r="C59" s="72"/>
      <c r="D59" s="72"/>
      <c r="E59" s="72"/>
      <c r="F59" s="73"/>
      <c r="G59" s="72"/>
      <c r="H59" s="72"/>
      <c r="I59" s="72"/>
      <c r="J59" s="3"/>
      <c r="K59" s="71"/>
    </row>
    <row r="60" spans="2:11" x14ac:dyDescent="0.2">
      <c r="C60" s="72"/>
      <c r="D60" s="72"/>
      <c r="E60" s="72"/>
      <c r="F60" s="72"/>
      <c r="G60" s="72"/>
      <c r="H60" s="72"/>
      <c r="I60" s="72"/>
      <c r="J60" s="3"/>
      <c r="K60" s="71"/>
    </row>
    <row r="61" spans="2:11" x14ac:dyDescent="0.2">
      <c r="C61" s="72"/>
      <c r="D61" s="72"/>
      <c r="E61" s="72"/>
      <c r="F61" s="72"/>
      <c r="G61" s="72"/>
      <c r="H61" s="72"/>
      <c r="I61" s="72"/>
      <c r="J61" s="3"/>
      <c r="K61" s="71"/>
    </row>
    <row r="62" spans="2:11" x14ac:dyDescent="0.2">
      <c r="C62" s="72"/>
      <c r="D62" s="72"/>
      <c r="E62" s="72"/>
      <c r="F62" s="72"/>
      <c r="G62" s="72"/>
      <c r="H62" s="72"/>
      <c r="I62" s="72"/>
      <c r="J62" s="3"/>
      <c r="K62" s="71"/>
    </row>
    <row r="63" spans="2:11" x14ac:dyDescent="0.2">
      <c r="B63" s="11"/>
      <c r="C63" s="72"/>
      <c r="D63" s="72"/>
      <c r="E63" s="72"/>
      <c r="F63" s="73"/>
      <c r="G63" s="72"/>
      <c r="H63" s="72"/>
      <c r="I63" s="72"/>
      <c r="J63" s="3"/>
      <c r="K63" s="71"/>
    </row>
    <row r="64" spans="2:11" x14ac:dyDescent="0.2">
      <c r="C64" s="72"/>
      <c r="D64" s="72"/>
      <c r="E64" s="72"/>
      <c r="F64" s="72"/>
      <c r="G64" s="72"/>
      <c r="H64" s="72"/>
      <c r="I64" s="72"/>
      <c r="J64" s="3"/>
      <c r="K64" s="71"/>
    </row>
    <row r="65" spans="2:11" x14ac:dyDescent="0.2">
      <c r="C65" s="72"/>
      <c r="D65" s="72"/>
      <c r="E65" s="72"/>
      <c r="F65" s="72"/>
      <c r="G65" s="72"/>
      <c r="H65" s="72"/>
      <c r="I65" s="72"/>
      <c r="J65" s="3"/>
      <c r="K65" s="71"/>
    </row>
    <row r="66" spans="2:11" x14ac:dyDescent="0.2">
      <c r="C66" s="72"/>
      <c r="D66" s="72"/>
      <c r="E66" s="72"/>
      <c r="F66" s="72"/>
      <c r="G66" s="72"/>
      <c r="H66" s="72"/>
      <c r="I66" s="72"/>
      <c r="J66" s="3"/>
      <c r="K66" s="71"/>
    </row>
    <row r="67" spans="2:11" x14ac:dyDescent="0.2">
      <c r="B67" s="11"/>
      <c r="C67" s="72"/>
      <c r="D67" s="72"/>
      <c r="E67" s="72"/>
      <c r="F67" s="73"/>
      <c r="G67" s="72"/>
      <c r="H67" s="72"/>
      <c r="I67" s="72"/>
      <c r="J67" s="3"/>
      <c r="K67" s="71"/>
    </row>
    <row r="68" spans="2:11" x14ac:dyDescent="0.2">
      <c r="C68" s="72"/>
      <c r="D68" s="72"/>
      <c r="E68" s="72"/>
      <c r="F68" s="72"/>
      <c r="G68" s="72"/>
      <c r="H68" s="72"/>
      <c r="I68" s="72"/>
      <c r="J68" s="3"/>
      <c r="K68" s="71"/>
    </row>
    <row r="69" spans="2:11" x14ac:dyDescent="0.2">
      <c r="C69" s="72"/>
      <c r="D69" s="72"/>
      <c r="E69" s="72"/>
      <c r="F69" s="72"/>
      <c r="G69" s="72"/>
      <c r="H69" s="72"/>
      <c r="I69" s="72"/>
      <c r="J69" s="3"/>
      <c r="K69" s="71"/>
    </row>
    <row r="70" spans="2:11" x14ac:dyDescent="0.2">
      <c r="C70" s="72"/>
      <c r="D70" s="72"/>
      <c r="E70" s="72"/>
      <c r="F70" s="72"/>
      <c r="G70" s="72"/>
      <c r="H70" s="72"/>
      <c r="I70" s="72"/>
      <c r="J70" s="3"/>
      <c r="K70" s="71"/>
    </row>
    <row r="71" spans="2:11" x14ac:dyDescent="0.2">
      <c r="B71" s="11"/>
      <c r="C71" s="72"/>
      <c r="D71" s="72"/>
      <c r="E71" s="72"/>
      <c r="F71" s="73"/>
      <c r="G71" s="72"/>
      <c r="H71" s="72"/>
      <c r="I71" s="72"/>
      <c r="J71" s="3"/>
      <c r="K71" s="71"/>
    </row>
    <row r="72" spans="2:11" x14ac:dyDescent="0.2">
      <c r="C72" s="72"/>
      <c r="D72" s="72"/>
      <c r="E72" s="72"/>
      <c r="F72" s="72"/>
      <c r="G72" s="72"/>
      <c r="H72" s="72"/>
      <c r="I72" s="72"/>
      <c r="J72" s="3"/>
      <c r="K72" s="71"/>
    </row>
    <row r="73" spans="2:11" x14ac:dyDescent="0.2">
      <c r="C73" s="72"/>
      <c r="D73" s="72"/>
      <c r="E73" s="72"/>
      <c r="F73" s="72"/>
      <c r="G73" s="72"/>
      <c r="H73" s="72"/>
      <c r="I73" s="72"/>
      <c r="J73" s="3"/>
      <c r="K73" s="71"/>
    </row>
    <row r="74" spans="2:11" x14ac:dyDescent="0.2">
      <c r="C74" s="72"/>
      <c r="D74" s="72"/>
      <c r="E74" s="72"/>
      <c r="F74" s="72"/>
      <c r="G74" s="72"/>
      <c r="H74" s="72"/>
      <c r="I74" s="72"/>
      <c r="J74" s="3"/>
      <c r="K74" s="71"/>
    </row>
    <row r="75" spans="2:11" x14ac:dyDescent="0.2">
      <c r="B75" s="11"/>
      <c r="C75" s="72"/>
      <c r="D75" s="72"/>
      <c r="E75" s="72"/>
      <c r="F75" s="73"/>
      <c r="G75" s="72"/>
      <c r="H75" s="72"/>
      <c r="I75" s="72"/>
      <c r="J75" s="3"/>
      <c r="K75" s="71"/>
    </row>
    <row r="76" spans="2:11" x14ac:dyDescent="0.2">
      <c r="C76" s="72"/>
      <c r="D76" s="72"/>
      <c r="E76" s="72"/>
      <c r="F76" s="72"/>
      <c r="G76" s="72"/>
      <c r="H76" s="72"/>
      <c r="I76" s="72"/>
      <c r="J76" s="3"/>
      <c r="K76" s="71"/>
    </row>
    <row r="77" spans="2:11" x14ac:dyDescent="0.2">
      <c r="C77" s="72"/>
      <c r="D77" s="72"/>
      <c r="E77" s="72"/>
      <c r="F77" s="72"/>
      <c r="G77" s="72"/>
      <c r="H77" s="72"/>
      <c r="I77" s="72"/>
      <c r="J77" s="3"/>
      <c r="K77" s="71"/>
    </row>
    <row r="78" spans="2:11" x14ac:dyDescent="0.2">
      <c r="C78" s="72"/>
      <c r="D78" s="72"/>
      <c r="E78" s="72"/>
      <c r="F78" s="72"/>
      <c r="G78" s="72"/>
      <c r="H78" s="72"/>
      <c r="I78" s="72"/>
      <c r="J78" s="3"/>
      <c r="K78" s="71"/>
    </row>
    <row r="79" spans="2:11" x14ac:dyDescent="0.2">
      <c r="B79" s="11"/>
      <c r="C79" s="72"/>
      <c r="D79" s="72"/>
      <c r="E79" s="72"/>
      <c r="F79" s="73"/>
      <c r="G79" s="72"/>
      <c r="H79" s="72"/>
      <c r="I79" s="72"/>
      <c r="J79" s="3"/>
      <c r="K79" s="71"/>
    </row>
    <row r="80" spans="2:11" x14ac:dyDescent="0.2">
      <c r="C80" s="72"/>
      <c r="D80" s="72"/>
      <c r="E80" s="72"/>
      <c r="F80" s="72"/>
      <c r="G80" s="72"/>
      <c r="H80" s="72"/>
      <c r="I80" s="72"/>
      <c r="J80" s="3"/>
      <c r="K80" s="71"/>
    </row>
    <row r="81" spans="2:11" x14ac:dyDescent="0.2">
      <c r="C81" s="72"/>
      <c r="D81" s="72"/>
      <c r="E81" s="72"/>
      <c r="F81" s="72"/>
      <c r="G81" s="72"/>
      <c r="H81" s="72"/>
      <c r="I81" s="72"/>
      <c r="J81" s="3"/>
      <c r="K81" s="71"/>
    </row>
    <row r="82" spans="2:11" x14ac:dyDescent="0.2">
      <c r="C82" s="72"/>
      <c r="D82" s="72"/>
      <c r="E82" s="72"/>
      <c r="F82" s="72"/>
      <c r="G82" s="72"/>
      <c r="H82" s="72"/>
      <c r="I82" s="72"/>
      <c r="J82" s="3"/>
      <c r="K82" s="71"/>
    </row>
    <row r="83" spans="2:11" x14ac:dyDescent="0.2">
      <c r="B83" s="11"/>
      <c r="C83" s="72"/>
      <c r="D83" s="72"/>
      <c r="E83" s="72"/>
      <c r="F83" s="73"/>
      <c r="G83" s="72"/>
      <c r="H83" s="72"/>
      <c r="I83" s="72"/>
      <c r="J83" s="3"/>
      <c r="K83" s="71"/>
    </row>
    <row r="84" spans="2:11" x14ac:dyDescent="0.2">
      <c r="C84" s="72"/>
      <c r="D84" s="72"/>
      <c r="E84" s="72"/>
      <c r="F84" s="72"/>
      <c r="G84" s="72"/>
      <c r="H84" s="72"/>
      <c r="I84" s="72"/>
      <c r="J84" s="3"/>
      <c r="K84" s="71"/>
    </row>
  </sheetData>
  <mergeCells count="1">
    <mergeCell ref="C4:J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6" tint="0.79998168889431442"/>
  </sheetPr>
  <dimension ref="A4:L21"/>
  <sheetViews>
    <sheetView workbookViewId="0"/>
  </sheetViews>
  <sheetFormatPr baseColWidth="10" defaultRowHeight="12.75" x14ac:dyDescent="0.2"/>
  <cols>
    <col min="2" max="2" width="4.140625" bestFit="1" customWidth="1"/>
    <col min="3" max="3" width="52.140625" bestFit="1" customWidth="1"/>
    <col min="4" max="4" width="10.7109375" bestFit="1" customWidth="1"/>
  </cols>
  <sheetData>
    <row r="4" spans="1:12" x14ac:dyDescent="0.2">
      <c r="B4" s="15" t="s">
        <v>131</v>
      </c>
      <c r="C4" s="65"/>
      <c r="D4" s="15"/>
      <c r="E4" s="73"/>
      <c r="F4" s="73"/>
      <c r="G4" s="73"/>
      <c r="H4" s="72"/>
      <c r="I4" s="72"/>
      <c r="J4" s="72"/>
      <c r="K4" s="72"/>
    </row>
    <row r="5" spans="1:12" x14ac:dyDescent="0.2">
      <c r="A5" s="72"/>
      <c r="B5" s="81"/>
      <c r="C5" s="81"/>
      <c r="D5" s="81"/>
      <c r="E5" s="73"/>
      <c r="F5" s="73"/>
      <c r="G5" s="73"/>
      <c r="H5" s="72"/>
      <c r="I5" s="72"/>
      <c r="J5" s="72"/>
      <c r="K5" s="72"/>
      <c r="L5" s="72"/>
    </row>
    <row r="6" spans="1:12" x14ac:dyDescent="0.2">
      <c r="B6" s="11"/>
      <c r="C6" s="72"/>
      <c r="D6" s="124"/>
      <c r="E6" s="72"/>
      <c r="F6" s="73"/>
      <c r="G6" s="72"/>
      <c r="H6" s="72"/>
      <c r="I6" s="72"/>
      <c r="J6" s="72"/>
      <c r="K6" s="72"/>
    </row>
    <row r="7" spans="1:12" x14ac:dyDescent="0.2">
      <c r="B7" s="11"/>
      <c r="C7" s="72"/>
      <c r="D7" s="123"/>
      <c r="E7" s="72"/>
      <c r="F7" s="73"/>
      <c r="G7" s="72"/>
      <c r="H7" s="72"/>
      <c r="I7" s="72"/>
      <c r="J7" s="72"/>
      <c r="K7" s="72"/>
    </row>
    <row r="8" spans="1:12" x14ac:dyDescent="0.2">
      <c r="B8" s="11"/>
      <c r="C8" s="72"/>
      <c r="D8" s="123"/>
      <c r="E8" s="72"/>
      <c r="F8" s="73"/>
      <c r="G8" s="72"/>
      <c r="H8" s="72"/>
      <c r="I8" s="72"/>
      <c r="J8" s="3"/>
      <c r="K8" s="71"/>
    </row>
    <row r="9" spans="1:12" x14ac:dyDescent="0.2">
      <c r="B9" s="11"/>
      <c r="C9" s="72"/>
      <c r="D9" s="123"/>
      <c r="E9" s="72"/>
      <c r="F9" s="73"/>
      <c r="G9" s="72"/>
      <c r="H9" s="72"/>
      <c r="I9" s="72"/>
    </row>
    <row r="10" spans="1:12" x14ac:dyDescent="0.2">
      <c r="B10" s="11"/>
      <c r="C10" s="72"/>
      <c r="D10" s="123"/>
      <c r="E10" s="72"/>
      <c r="F10" s="73"/>
      <c r="G10" s="72"/>
      <c r="H10" s="72"/>
      <c r="I10" s="72"/>
      <c r="J10" s="3"/>
      <c r="K10" s="71"/>
    </row>
    <row r="11" spans="1:12" x14ac:dyDescent="0.2">
      <c r="B11" s="11"/>
      <c r="C11" s="72"/>
      <c r="D11" s="123"/>
      <c r="E11" s="72"/>
      <c r="F11" s="73"/>
      <c r="G11" s="72"/>
      <c r="H11" s="72"/>
      <c r="I11" s="72"/>
      <c r="J11" s="3"/>
      <c r="K11" s="71"/>
    </row>
    <row r="12" spans="1:12" x14ac:dyDescent="0.2">
      <c r="B12" s="11"/>
      <c r="C12" s="72"/>
      <c r="D12" s="123"/>
      <c r="E12" s="72"/>
      <c r="F12" s="73"/>
      <c r="G12" s="72"/>
      <c r="H12" s="72"/>
      <c r="I12" s="72"/>
    </row>
    <row r="13" spans="1:12" x14ac:dyDescent="0.2">
      <c r="B13" s="11"/>
      <c r="C13" s="72"/>
      <c r="D13" s="123"/>
      <c r="E13" s="72"/>
      <c r="F13" s="73"/>
      <c r="G13" s="72"/>
      <c r="H13" s="72"/>
      <c r="I13" s="72"/>
      <c r="J13" s="3"/>
      <c r="K13" s="71"/>
    </row>
    <row r="14" spans="1:12" x14ac:dyDescent="0.2">
      <c r="B14" s="11"/>
      <c r="C14" s="72"/>
      <c r="D14" s="123"/>
      <c r="E14" s="72"/>
      <c r="F14" s="73"/>
      <c r="G14" s="72"/>
      <c r="H14" s="72"/>
      <c r="I14" s="72"/>
      <c r="J14" s="3"/>
      <c r="K14" s="71"/>
    </row>
    <row r="15" spans="1:12" x14ac:dyDescent="0.2">
      <c r="B15" s="11"/>
      <c r="C15" s="72"/>
      <c r="D15" s="123"/>
      <c r="E15" s="72"/>
      <c r="F15" s="73"/>
      <c r="G15" s="72"/>
      <c r="H15" s="72"/>
      <c r="I15" s="72"/>
    </row>
    <row r="16" spans="1:12" x14ac:dyDescent="0.2">
      <c r="B16" s="11"/>
      <c r="C16" s="72"/>
      <c r="D16" s="123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3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3"/>
      <c r="E18" s="72"/>
      <c r="F18" s="73"/>
      <c r="G18" s="72"/>
      <c r="H18" s="72"/>
      <c r="I18" s="72"/>
    </row>
    <row r="19" spans="2:11" x14ac:dyDescent="0.2">
      <c r="B19" s="11"/>
      <c r="C19" s="72"/>
      <c r="D19" s="123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3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3"/>
      <c r="E21" s="72"/>
      <c r="F21" s="73"/>
      <c r="G21" s="72"/>
      <c r="H21" s="72"/>
      <c r="I21" s="72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79998168889431442"/>
  </sheetPr>
  <dimension ref="A4:N152"/>
  <sheetViews>
    <sheetView workbookViewId="0"/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131</v>
      </c>
      <c r="C4" s="437"/>
      <c r="D4" s="438"/>
      <c r="E4" s="438"/>
    </row>
    <row r="5" spans="1:14" x14ac:dyDescent="0.2">
      <c r="A5" s="72"/>
      <c r="B5" s="137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47"/>
    </row>
    <row r="9" spans="1:14" x14ac:dyDescent="0.2">
      <c r="B9" s="15"/>
      <c r="C9" s="148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47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47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46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46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46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38"/>
      <c r="C17" s="151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38"/>
      <c r="C18" s="151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38"/>
      <c r="C19" s="142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38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38"/>
      <c r="C21" s="146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38"/>
      <c r="C22" s="146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39"/>
      <c r="C23" s="151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39"/>
      <c r="C24" s="151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39"/>
      <c r="C25" s="143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39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39"/>
      <c r="C27" s="146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39"/>
      <c r="C28" s="146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1"/>
      <c r="C29" s="151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1"/>
      <c r="C30" s="151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1"/>
      <c r="C31" s="144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1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1"/>
      <c r="C33" s="146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1"/>
      <c r="C34" s="146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0"/>
      <c r="C35" s="151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0"/>
      <c r="C36" s="151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0"/>
      <c r="C37" s="145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0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0"/>
      <c r="C39" s="146"/>
    </row>
    <row r="40" spans="2:14" x14ac:dyDescent="0.2">
      <c r="B40" s="140"/>
      <c r="C40" s="146"/>
    </row>
    <row r="41" spans="2:14" x14ac:dyDescent="0.2">
      <c r="B41" s="149"/>
      <c r="C41" s="151"/>
    </row>
    <row r="42" spans="2:14" x14ac:dyDescent="0.2">
      <c r="B42" s="149"/>
      <c r="C42" s="151"/>
    </row>
    <row r="43" spans="2:14" x14ac:dyDescent="0.2">
      <c r="B43" s="149"/>
      <c r="C43" s="150"/>
    </row>
    <row r="44" spans="2:14" x14ac:dyDescent="0.2">
      <c r="B44" s="149"/>
      <c r="C44" s="150"/>
    </row>
    <row r="45" spans="2:14" x14ac:dyDescent="0.2">
      <c r="B45" s="149"/>
    </row>
    <row r="46" spans="2:14" x14ac:dyDescent="0.2">
      <c r="B46" s="149"/>
      <c r="C46" s="146"/>
    </row>
    <row r="47" spans="2:14" x14ac:dyDescent="0.2">
      <c r="B47" s="149"/>
      <c r="C47" s="146"/>
    </row>
    <row r="48" spans="2:14" x14ac:dyDescent="0.2">
      <c r="B48" s="5"/>
      <c r="C48" s="151"/>
    </row>
    <row r="49" spans="2:3" x14ac:dyDescent="0.2">
      <c r="B49" s="5"/>
      <c r="C49" s="151"/>
    </row>
    <row r="50" spans="2:3" x14ac:dyDescent="0.2">
      <c r="B50" s="5"/>
      <c r="C50" s="150"/>
    </row>
    <row r="51" spans="2:3" x14ac:dyDescent="0.2">
      <c r="B51" s="5"/>
      <c r="C51" s="150"/>
    </row>
    <row r="52" spans="2:3" x14ac:dyDescent="0.2">
      <c r="B52" s="5"/>
    </row>
    <row r="53" spans="2:3" x14ac:dyDescent="0.2">
      <c r="B53" s="5"/>
      <c r="C53" s="146"/>
    </row>
    <row r="54" spans="2:3" x14ac:dyDescent="0.2">
      <c r="B54" s="5"/>
      <c r="C54" s="146"/>
    </row>
    <row r="55" spans="2:3" x14ac:dyDescent="0.2">
      <c r="B55" s="149"/>
      <c r="C55" s="151"/>
    </row>
    <row r="56" spans="2:3" x14ac:dyDescent="0.2">
      <c r="B56" s="149"/>
      <c r="C56" s="151"/>
    </row>
    <row r="57" spans="2:3" x14ac:dyDescent="0.2">
      <c r="B57" s="149"/>
      <c r="C57" s="150"/>
    </row>
    <row r="58" spans="2:3" x14ac:dyDescent="0.2">
      <c r="B58" s="149"/>
      <c r="C58" s="150"/>
    </row>
    <row r="59" spans="2:3" x14ac:dyDescent="0.2">
      <c r="B59" s="149"/>
    </row>
    <row r="60" spans="2:3" x14ac:dyDescent="0.2">
      <c r="B60" s="149"/>
      <c r="C60" s="146"/>
    </row>
    <row r="61" spans="2:3" x14ac:dyDescent="0.2">
      <c r="B61" s="149"/>
      <c r="C61" s="146"/>
    </row>
    <row r="62" spans="2:3" x14ac:dyDescent="0.2">
      <c r="B62" s="5"/>
      <c r="C62" s="151"/>
    </row>
    <row r="63" spans="2:3" x14ac:dyDescent="0.2">
      <c r="B63" s="5"/>
      <c r="C63" s="151"/>
    </row>
    <row r="64" spans="2:3" x14ac:dyDescent="0.2">
      <c r="B64" s="5"/>
      <c r="C64" s="150"/>
    </row>
    <row r="65" spans="2:3" x14ac:dyDescent="0.2">
      <c r="B65" s="5"/>
      <c r="C65" s="150"/>
    </row>
    <row r="66" spans="2:3" x14ac:dyDescent="0.2">
      <c r="B66" s="5"/>
    </row>
    <row r="67" spans="2:3" x14ac:dyDescent="0.2">
      <c r="B67" s="5"/>
      <c r="C67" s="146"/>
    </row>
    <row r="68" spans="2:3" x14ac:dyDescent="0.2">
      <c r="B68" s="5"/>
      <c r="C68" s="146"/>
    </row>
    <row r="69" spans="2:3" x14ac:dyDescent="0.2">
      <c r="B69" s="149"/>
      <c r="C69" s="151"/>
    </row>
    <row r="70" spans="2:3" x14ac:dyDescent="0.2">
      <c r="B70" s="149"/>
      <c r="C70" s="151"/>
    </row>
    <row r="71" spans="2:3" x14ac:dyDescent="0.2">
      <c r="B71" s="149"/>
      <c r="C71" s="150"/>
    </row>
    <row r="72" spans="2:3" x14ac:dyDescent="0.2">
      <c r="B72" s="149"/>
      <c r="C72" s="150"/>
    </row>
    <row r="73" spans="2:3" x14ac:dyDescent="0.2">
      <c r="B73" s="149"/>
    </row>
    <row r="74" spans="2:3" x14ac:dyDescent="0.2">
      <c r="B74" s="149"/>
      <c r="C74" s="146"/>
    </row>
    <row r="75" spans="2:3" x14ac:dyDescent="0.2">
      <c r="B75" s="149"/>
      <c r="C75" s="146"/>
    </row>
    <row r="76" spans="2:3" x14ac:dyDescent="0.2">
      <c r="B76" s="5"/>
      <c r="C76" s="155"/>
    </row>
    <row r="77" spans="2:3" x14ac:dyDescent="0.2">
      <c r="B77" s="5"/>
      <c r="C77" s="155"/>
    </row>
    <row r="78" spans="2:3" x14ac:dyDescent="0.2">
      <c r="B78" s="5"/>
      <c r="C78" s="150"/>
    </row>
    <row r="79" spans="2:3" x14ac:dyDescent="0.2">
      <c r="B79" s="5"/>
      <c r="C79" s="150"/>
    </row>
    <row r="80" spans="2:3" x14ac:dyDescent="0.2">
      <c r="B80" s="5"/>
    </row>
    <row r="81" spans="2:3" x14ac:dyDescent="0.2">
      <c r="B81" s="5"/>
      <c r="C81" s="146"/>
    </row>
    <row r="82" spans="2:3" x14ac:dyDescent="0.2">
      <c r="B82" s="5"/>
      <c r="C82" s="146"/>
    </row>
    <row r="83" spans="2:3" x14ac:dyDescent="0.2">
      <c r="B83" s="149"/>
      <c r="C83" s="151"/>
    </row>
    <row r="84" spans="2:3" x14ac:dyDescent="0.2">
      <c r="B84" s="149"/>
      <c r="C84" s="151"/>
    </row>
    <row r="85" spans="2:3" x14ac:dyDescent="0.2">
      <c r="B85" s="149"/>
      <c r="C85" s="150"/>
    </row>
    <row r="86" spans="2:3" x14ac:dyDescent="0.2">
      <c r="B86" s="149"/>
      <c r="C86" s="150"/>
    </row>
    <row r="87" spans="2:3" x14ac:dyDescent="0.2">
      <c r="B87" s="149"/>
    </row>
    <row r="88" spans="2:3" x14ac:dyDescent="0.2">
      <c r="B88" s="149"/>
      <c r="C88" s="146"/>
    </row>
    <row r="89" spans="2:3" x14ac:dyDescent="0.2">
      <c r="B89" s="149"/>
      <c r="C89" s="146"/>
    </row>
    <row r="90" spans="2:3" x14ac:dyDescent="0.2">
      <c r="B90" s="5"/>
      <c r="C90" s="151"/>
    </row>
    <row r="91" spans="2:3" x14ac:dyDescent="0.2">
      <c r="B91" s="5"/>
      <c r="C91" s="151"/>
    </row>
    <row r="92" spans="2:3" x14ac:dyDescent="0.2">
      <c r="B92" s="5"/>
      <c r="C92" s="150"/>
    </row>
    <row r="93" spans="2:3" x14ac:dyDescent="0.2">
      <c r="B93" s="5"/>
      <c r="C93" s="150"/>
    </row>
    <row r="94" spans="2:3" x14ac:dyDescent="0.2">
      <c r="B94" s="5"/>
    </row>
    <row r="95" spans="2:3" x14ac:dyDescent="0.2">
      <c r="B95" s="5"/>
      <c r="C95" s="146"/>
    </row>
    <row r="96" spans="2:3" x14ac:dyDescent="0.2">
      <c r="B96" s="5"/>
      <c r="C96" s="146"/>
    </row>
    <row r="97" spans="2:3" x14ac:dyDescent="0.2">
      <c r="B97" s="149"/>
      <c r="C97" s="151"/>
    </row>
    <row r="98" spans="2:3" x14ac:dyDescent="0.2">
      <c r="B98" s="149"/>
      <c r="C98" s="151"/>
    </row>
    <row r="99" spans="2:3" x14ac:dyDescent="0.2">
      <c r="B99" s="149"/>
      <c r="C99" s="150"/>
    </row>
    <row r="100" spans="2:3" x14ac:dyDescent="0.2">
      <c r="B100" s="149"/>
      <c r="C100" s="150"/>
    </row>
    <row r="101" spans="2:3" x14ac:dyDescent="0.2">
      <c r="B101" s="149"/>
    </row>
    <row r="102" spans="2:3" x14ac:dyDescent="0.2">
      <c r="B102" s="149"/>
      <c r="C102" s="146"/>
    </row>
    <row r="103" spans="2:3" x14ac:dyDescent="0.2">
      <c r="B103" s="149"/>
      <c r="C103" s="146"/>
    </row>
    <row r="104" spans="2:3" x14ac:dyDescent="0.2">
      <c r="B104" s="5"/>
      <c r="C104" s="151"/>
    </row>
    <row r="105" spans="2:3" x14ac:dyDescent="0.2">
      <c r="B105" s="5"/>
      <c r="C105" s="151"/>
    </row>
    <row r="106" spans="2:3" x14ac:dyDescent="0.2">
      <c r="B106" s="5"/>
      <c r="C106" s="150"/>
    </row>
    <row r="107" spans="2:3" x14ac:dyDescent="0.2">
      <c r="B107" s="5"/>
      <c r="C107" s="150"/>
    </row>
    <row r="108" spans="2:3" x14ac:dyDescent="0.2">
      <c r="B108" s="5"/>
    </row>
    <row r="109" spans="2:3" x14ac:dyDescent="0.2">
      <c r="B109" s="5"/>
      <c r="C109" s="146"/>
    </row>
    <row r="110" spans="2:3" x14ac:dyDescent="0.2">
      <c r="B110" s="5"/>
      <c r="C110" s="146"/>
    </row>
    <row r="111" spans="2:3" x14ac:dyDescent="0.2">
      <c r="B111" s="149"/>
      <c r="C111" s="151"/>
    </row>
    <row r="112" spans="2:3" x14ac:dyDescent="0.2">
      <c r="B112" s="149"/>
      <c r="C112" s="151"/>
    </row>
    <row r="113" spans="2:3" x14ac:dyDescent="0.2">
      <c r="B113" s="149"/>
      <c r="C113" s="150"/>
    </row>
    <row r="114" spans="2:3" x14ac:dyDescent="0.2">
      <c r="B114" s="149"/>
      <c r="C114" s="150"/>
    </row>
    <row r="115" spans="2:3" x14ac:dyDescent="0.2">
      <c r="B115" s="149"/>
    </row>
    <row r="116" spans="2:3" x14ac:dyDescent="0.2">
      <c r="B116" s="149"/>
      <c r="C116" s="146"/>
    </row>
    <row r="117" spans="2:3" x14ac:dyDescent="0.2">
      <c r="B117" s="149"/>
      <c r="C117" s="146"/>
    </row>
    <row r="118" spans="2:3" x14ac:dyDescent="0.2">
      <c r="B118" s="5"/>
      <c r="C118" s="151"/>
    </row>
    <row r="119" spans="2:3" x14ac:dyDescent="0.2">
      <c r="B119" s="5"/>
      <c r="C119" s="151"/>
    </row>
    <row r="120" spans="2:3" x14ac:dyDescent="0.2">
      <c r="B120" s="5"/>
      <c r="C120" s="150"/>
    </row>
    <row r="121" spans="2:3" x14ac:dyDescent="0.2">
      <c r="B121" s="5"/>
      <c r="C121" s="150"/>
    </row>
    <row r="122" spans="2:3" x14ac:dyDescent="0.2">
      <c r="B122" s="5"/>
    </row>
    <row r="123" spans="2:3" x14ac:dyDescent="0.2">
      <c r="B123" s="5"/>
      <c r="C123" s="146"/>
    </row>
    <row r="124" spans="2:3" x14ac:dyDescent="0.2">
      <c r="B124" s="5"/>
      <c r="C124" s="146"/>
    </row>
    <row r="125" spans="2:3" x14ac:dyDescent="0.2">
      <c r="B125" s="149"/>
      <c r="C125" s="151"/>
    </row>
    <row r="126" spans="2:3" x14ac:dyDescent="0.2">
      <c r="B126" s="149"/>
      <c r="C126" s="151"/>
    </row>
    <row r="127" spans="2:3" x14ac:dyDescent="0.2">
      <c r="B127" s="149"/>
      <c r="C127" s="150"/>
    </row>
    <row r="128" spans="2:3" x14ac:dyDescent="0.2">
      <c r="B128" s="149"/>
      <c r="C128" s="150"/>
    </row>
    <row r="129" spans="2:3" x14ac:dyDescent="0.2">
      <c r="B129" s="149"/>
    </row>
    <row r="130" spans="2:3" x14ac:dyDescent="0.2">
      <c r="B130" s="149"/>
      <c r="C130" s="146"/>
    </row>
    <row r="131" spans="2:3" x14ac:dyDescent="0.2">
      <c r="B131" s="149"/>
      <c r="C131" s="146"/>
    </row>
    <row r="132" spans="2:3" x14ac:dyDescent="0.2">
      <c r="B132" s="5"/>
      <c r="C132" s="151"/>
    </row>
    <row r="133" spans="2:3" x14ac:dyDescent="0.2">
      <c r="B133" s="5"/>
      <c r="C133" s="151"/>
    </row>
    <row r="134" spans="2:3" x14ac:dyDescent="0.2">
      <c r="B134" s="5"/>
      <c r="C134" s="150"/>
    </row>
    <row r="135" spans="2:3" x14ac:dyDescent="0.2">
      <c r="B135" s="5"/>
      <c r="C135" s="150"/>
    </row>
    <row r="136" spans="2:3" x14ac:dyDescent="0.2">
      <c r="B136" s="5"/>
    </row>
    <row r="137" spans="2:3" x14ac:dyDescent="0.2">
      <c r="B137" s="5"/>
      <c r="C137" s="146"/>
    </row>
    <row r="138" spans="2:3" x14ac:dyDescent="0.2">
      <c r="B138" s="5"/>
      <c r="C138" s="146"/>
    </row>
    <row r="139" spans="2:3" x14ac:dyDescent="0.2">
      <c r="B139" s="149"/>
      <c r="C139" s="151"/>
    </row>
    <row r="140" spans="2:3" x14ac:dyDescent="0.2">
      <c r="B140" s="149"/>
      <c r="C140" s="151"/>
    </row>
    <row r="141" spans="2:3" x14ac:dyDescent="0.2">
      <c r="B141" s="149"/>
      <c r="C141" s="150"/>
    </row>
    <row r="142" spans="2:3" x14ac:dyDescent="0.2">
      <c r="B142" s="149"/>
      <c r="C142" s="150"/>
    </row>
    <row r="143" spans="2:3" x14ac:dyDescent="0.2">
      <c r="B143" s="149"/>
    </row>
    <row r="144" spans="2:3" x14ac:dyDescent="0.2">
      <c r="B144" s="149"/>
      <c r="C144" s="146"/>
    </row>
    <row r="145" spans="2:3" x14ac:dyDescent="0.2">
      <c r="B145" s="149"/>
      <c r="C145" s="146"/>
    </row>
    <row r="146" spans="2:3" x14ac:dyDescent="0.2">
      <c r="B146" s="5"/>
      <c r="C146" s="151"/>
    </row>
    <row r="147" spans="2:3" x14ac:dyDescent="0.2">
      <c r="B147" s="5"/>
      <c r="C147" s="151"/>
    </row>
    <row r="148" spans="2:3" x14ac:dyDescent="0.2">
      <c r="B148" s="5"/>
      <c r="C148" s="150"/>
    </row>
    <row r="149" spans="2:3" x14ac:dyDescent="0.2">
      <c r="B149" s="5"/>
      <c r="C149" s="150"/>
    </row>
    <row r="150" spans="2:3" x14ac:dyDescent="0.2">
      <c r="B150" s="5"/>
    </row>
    <row r="151" spans="2:3" x14ac:dyDescent="0.2">
      <c r="B151" s="5"/>
      <c r="C151" s="146"/>
    </row>
    <row r="152" spans="2:3" x14ac:dyDescent="0.2">
      <c r="B152" s="5"/>
      <c r="C152" s="146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4" tint="0.79998168889431442"/>
  </sheetPr>
  <dimension ref="A4:N152"/>
  <sheetViews>
    <sheetView workbookViewId="0"/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131</v>
      </c>
      <c r="C4" s="437"/>
      <c r="D4" s="437"/>
      <c r="E4" s="437"/>
      <c r="F4" s="437"/>
    </row>
    <row r="5" spans="1:14" x14ac:dyDescent="0.2">
      <c r="A5" s="72"/>
      <c r="B5" s="137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47"/>
    </row>
    <row r="9" spans="1:14" x14ac:dyDescent="0.2">
      <c r="B9" s="15"/>
      <c r="C9" s="148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47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47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46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46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46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38"/>
      <c r="C17" s="151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38"/>
      <c r="C18" s="151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38"/>
      <c r="C19" s="142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38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38"/>
      <c r="C21" s="146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38"/>
      <c r="C22" s="146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39"/>
      <c r="C23" s="151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39"/>
      <c r="C24" s="151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39"/>
      <c r="C25" s="143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39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39"/>
      <c r="C27" s="146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39"/>
      <c r="C28" s="146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1"/>
      <c r="C29" s="151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1"/>
      <c r="C30" s="151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1"/>
      <c r="C31" s="144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1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1"/>
      <c r="C33" s="146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1"/>
      <c r="C34" s="146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0"/>
      <c r="C35" s="151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0"/>
      <c r="C36" s="151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0"/>
      <c r="C37" s="145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0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0"/>
      <c r="C39" s="146"/>
    </row>
    <row r="40" spans="2:14" x14ac:dyDescent="0.2">
      <c r="B40" s="140"/>
      <c r="C40" s="146"/>
    </row>
    <row r="41" spans="2:14" x14ac:dyDescent="0.2">
      <c r="B41" s="149"/>
      <c r="C41" s="151"/>
    </row>
    <row r="42" spans="2:14" x14ac:dyDescent="0.2">
      <c r="B42" s="149"/>
      <c r="C42" s="151"/>
    </row>
    <row r="43" spans="2:14" x14ac:dyDescent="0.2">
      <c r="B43" s="149"/>
      <c r="C43" s="150"/>
    </row>
    <row r="44" spans="2:14" x14ac:dyDescent="0.2">
      <c r="B44" s="149"/>
      <c r="C44" s="150"/>
    </row>
    <row r="45" spans="2:14" x14ac:dyDescent="0.2">
      <c r="B45" s="149"/>
    </row>
    <row r="46" spans="2:14" x14ac:dyDescent="0.2">
      <c r="B46" s="149"/>
      <c r="C46" s="146"/>
    </row>
    <row r="47" spans="2:14" x14ac:dyDescent="0.2">
      <c r="B47" s="149"/>
      <c r="C47" s="146"/>
    </row>
    <row r="48" spans="2:14" x14ac:dyDescent="0.2">
      <c r="B48" s="5"/>
      <c r="C48" s="151"/>
    </row>
    <row r="49" spans="2:3" x14ac:dyDescent="0.2">
      <c r="B49" s="5"/>
      <c r="C49" s="151"/>
    </row>
    <row r="50" spans="2:3" x14ac:dyDescent="0.2">
      <c r="B50" s="5"/>
      <c r="C50" s="150"/>
    </row>
    <row r="51" spans="2:3" x14ac:dyDescent="0.2">
      <c r="B51" s="5"/>
      <c r="C51" s="150"/>
    </row>
    <row r="52" spans="2:3" x14ac:dyDescent="0.2">
      <c r="B52" s="5"/>
    </row>
    <row r="53" spans="2:3" x14ac:dyDescent="0.2">
      <c r="B53" s="5"/>
      <c r="C53" s="146"/>
    </row>
    <row r="54" spans="2:3" x14ac:dyDescent="0.2">
      <c r="B54" s="5"/>
      <c r="C54" s="146"/>
    </row>
    <row r="55" spans="2:3" x14ac:dyDescent="0.2">
      <c r="B55" s="149"/>
      <c r="C55" s="151"/>
    </row>
    <row r="56" spans="2:3" x14ac:dyDescent="0.2">
      <c r="B56" s="149"/>
      <c r="C56" s="151"/>
    </row>
    <row r="57" spans="2:3" x14ac:dyDescent="0.2">
      <c r="B57" s="149"/>
      <c r="C57" s="150"/>
    </row>
    <row r="58" spans="2:3" x14ac:dyDescent="0.2">
      <c r="B58" s="149"/>
      <c r="C58" s="150"/>
    </row>
    <row r="59" spans="2:3" x14ac:dyDescent="0.2">
      <c r="B59" s="149"/>
    </row>
    <row r="60" spans="2:3" x14ac:dyDescent="0.2">
      <c r="B60" s="149"/>
      <c r="C60" s="146"/>
    </row>
    <row r="61" spans="2:3" x14ac:dyDescent="0.2">
      <c r="B61" s="149"/>
      <c r="C61" s="146"/>
    </row>
    <row r="62" spans="2:3" x14ac:dyDescent="0.2">
      <c r="B62" s="5"/>
      <c r="C62" s="151"/>
    </row>
    <row r="63" spans="2:3" x14ac:dyDescent="0.2">
      <c r="B63" s="5"/>
      <c r="C63" s="151"/>
    </row>
    <row r="64" spans="2:3" x14ac:dyDescent="0.2">
      <c r="B64" s="5"/>
      <c r="C64" s="150"/>
    </row>
    <row r="65" spans="2:3" x14ac:dyDescent="0.2">
      <c r="B65" s="5"/>
      <c r="C65" s="150"/>
    </row>
    <row r="66" spans="2:3" x14ac:dyDescent="0.2">
      <c r="B66" s="5"/>
    </row>
    <row r="67" spans="2:3" x14ac:dyDescent="0.2">
      <c r="B67" s="5"/>
      <c r="C67" s="146"/>
    </row>
    <row r="68" spans="2:3" x14ac:dyDescent="0.2">
      <c r="B68" s="5"/>
      <c r="C68" s="146"/>
    </row>
    <row r="69" spans="2:3" x14ac:dyDescent="0.2">
      <c r="B69" s="149"/>
      <c r="C69" s="151"/>
    </row>
    <row r="70" spans="2:3" x14ac:dyDescent="0.2">
      <c r="B70" s="149"/>
      <c r="C70" s="151"/>
    </row>
    <row r="71" spans="2:3" x14ac:dyDescent="0.2">
      <c r="B71" s="149"/>
      <c r="C71" s="150"/>
    </row>
    <row r="72" spans="2:3" x14ac:dyDescent="0.2">
      <c r="B72" s="149"/>
      <c r="C72" s="150"/>
    </row>
    <row r="73" spans="2:3" x14ac:dyDescent="0.2">
      <c r="B73" s="149"/>
    </row>
    <row r="74" spans="2:3" x14ac:dyDescent="0.2">
      <c r="B74" s="149"/>
      <c r="C74" s="146"/>
    </row>
    <row r="75" spans="2:3" x14ac:dyDescent="0.2">
      <c r="B75" s="149"/>
      <c r="C75" s="146"/>
    </row>
    <row r="76" spans="2:3" x14ac:dyDescent="0.2">
      <c r="B76" s="5"/>
      <c r="C76" s="155"/>
    </row>
    <row r="77" spans="2:3" x14ac:dyDescent="0.2">
      <c r="B77" s="5"/>
      <c r="C77" s="155"/>
    </row>
    <row r="78" spans="2:3" x14ac:dyDescent="0.2">
      <c r="B78" s="5"/>
      <c r="C78" s="150"/>
    </row>
    <row r="79" spans="2:3" x14ac:dyDescent="0.2">
      <c r="B79" s="5"/>
      <c r="C79" s="150"/>
    </row>
    <row r="80" spans="2:3" x14ac:dyDescent="0.2">
      <c r="B80" s="5"/>
    </row>
    <row r="81" spans="2:3" x14ac:dyDescent="0.2">
      <c r="B81" s="5"/>
      <c r="C81" s="146"/>
    </row>
    <row r="82" spans="2:3" x14ac:dyDescent="0.2">
      <c r="B82" s="5"/>
      <c r="C82" s="146"/>
    </row>
    <row r="83" spans="2:3" x14ac:dyDescent="0.2">
      <c r="B83" s="149"/>
      <c r="C83" s="151"/>
    </row>
    <row r="84" spans="2:3" x14ac:dyDescent="0.2">
      <c r="B84" s="149"/>
      <c r="C84" s="151"/>
    </row>
    <row r="85" spans="2:3" x14ac:dyDescent="0.2">
      <c r="B85" s="149"/>
      <c r="C85" s="150"/>
    </row>
    <row r="86" spans="2:3" x14ac:dyDescent="0.2">
      <c r="B86" s="149"/>
      <c r="C86" s="150"/>
    </row>
    <row r="87" spans="2:3" x14ac:dyDescent="0.2">
      <c r="B87" s="149"/>
    </row>
    <row r="88" spans="2:3" x14ac:dyDescent="0.2">
      <c r="B88" s="149"/>
      <c r="C88" s="146"/>
    </row>
    <row r="89" spans="2:3" x14ac:dyDescent="0.2">
      <c r="B89" s="149"/>
      <c r="C89" s="146"/>
    </row>
    <row r="90" spans="2:3" x14ac:dyDescent="0.2">
      <c r="B90" s="5"/>
      <c r="C90" s="151"/>
    </row>
    <row r="91" spans="2:3" x14ac:dyDescent="0.2">
      <c r="B91" s="5"/>
      <c r="C91" s="151"/>
    </row>
    <row r="92" spans="2:3" x14ac:dyDescent="0.2">
      <c r="B92" s="5"/>
      <c r="C92" s="150"/>
    </row>
    <row r="93" spans="2:3" x14ac:dyDescent="0.2">
      <c r="B93" s="5"/>
      <c r="C93" s="150"/>
    </row>
    <row r="94" spans="2:3" x14ac:dyDescent="0.2">
      <c r="B94" s="5"/>
    </row>
    <row r="95" spans="2:3" x14ac:dyDescent="0.2">
      <c r="B95" s="5"/>
      <c r="C95" s="146"/>
    </row>
    <row r="96" spans="2:3" x14ac:dyDescent="0.2">
      <c r="B96" s="5"/>
      <c r="C96" s="146"/>
    </row>
    <row r="97" spans="2:3" x14ac:dyDescent="0.2">
      <c r="B97" s="149"/>
      <c r="C97" s="151"/>
    </row>
    <row r="98" spans="2:3" x14ac:dyDescent="0.2">
      <c r="B98" s="149"/>
      <c r="C98" s="151"/>
    </row>
    <row r="99" spans="2:3" x14ac:dyDescent="0.2">
      <c r="B99" s="149"/>
      <c r="C99" s="150"/>
    </row>
    <row r="100" spans="2:3" x14ac:dyDescent="0.2">
      <c r="B100" s="149"/>
      <c r="C100" s="150"/>
    </row>
    <row r="101" spans="2:3" x14ac:dyDescent="0.2">
      <c r="B101" s="149"/>
    </row>
    <row r="102" spans="2:3" x14ac:dyDescent="0.2">
      <c r="B102" s="149"/>
      <c r="C102" s="146"/>
    </row>
    <row r="103" spans="2:3" x14ac:dyDescent="0.2">
      <c r="B103" s="149"/>
      <c r="C103" s="146"/>
    </row>
    <row r="104" spans="2:3" x14ac:dyDescent="0.2">
      <c r="B104" s="5"/>
      <c r="C104" s="151"/>
    </row>
    <row r="105" spans="2:3" x14ac:dyDescent="0.2">
      <c r="B105" s="5"/>
      <c r="C105" s="151"/>
    </row>
    <row r="106" spans="2:3" x14ac:dyDescent="0.2">
      <c r="B106" s="5"/>
      <c r="C106" s="150"/>
    </row>
    <row r="107" spans="2:3" x14ac:dyDescent="0.2">
      <c r="B107" s="5"/>
      <c r="C107" s="150"/>
    </row>
    <row r="108" spans="2:3" x14ac:dyDescent="0.2">
      <c r="B108" s="5"/>
    </row>
    <row r="109" spans="2:3" x14ac:dyDescent="0.2">
      <c r="B109" s="5"/>
      <c r="C109" s="146"/>
    </row>
    <row r="110" spans="2:3" x14ac:dyDescent="0.2">
      <c r="B110" s="5"/>
      <c r="C110" s="146"/>
    </row>
    <row r="111" spans="2:3" x14ac:dyDescent="0.2">
      <c r="B111" s="149"/>
      <c r="C111" s="151"/>
    </row>
    <row r="112" spans="2:3" x14ac:dyDescent="0.2">
      <c r="B112" s="149"/>
      <c r="C112" s="151"/>
    </row>
    <row r="113" spans="2:3" x14ac:dyDescent="0.2">
      <c r="B113" s="149"/>
      <c r="C113" s="150"/>
    </row>
    <row r="114" spans="2:3" x14ac:dyDescent="0.2">
      <c r="B114" s="149"/>
      <c r="C114" s="150"/>
    </row>
    <row r="115" spans="2:3" x14ac:dyDescent="0.2">
      <c r="B115" s="149"/>
    </row>
    <row r="116" spans="2:3" x14ac:dyDescent="0.2">
      <c r="B116" s="149"/>
      <c r="C116" s="146"/>
    </row>
    <row r="117" spans="2:3" x14ac:dyDescent="0.2">
      <c r="B117" s="149"/>
      <c r="C117" s="146"/>
    </row>
    <row r="118" spans="2:3" x14ac:dyDescent="0.2">
      <c r="B118" s="5"/>
      <c r="C118" s="151"/>
    </row>
    <row r="119" spans="2:3" x14ac:dyDescent="0.2">
      <c r="B119" s="5"/>
      <c r="C119" s="151"/>
    </row>
    <row r="120" spans="2:3" x14ac:dyDescent="0.2">
      <c r="B120" s="5"/>
      <c r="C120" s="150"/>
    </row>
    <row r="121" spans="2:3" x14ac:dyDescent="0.2">
      <c r="B121" s="5"/>
      <c r="C121" s="150"/>
    </row>
    <row r="122" spans="2:3" x14ac:dyDescent="0.2">
      <c r="B122" s="5"/>
    </row>
    <row r="123" spans="2:3" x14ac:dyDescent="0.2">
      <c r="B123" s="5"/>
      <c r="C123" s="146"/>
    </row>
    <row r="124" spans="2:3" x14ac:dyDescent="0.2">
      <c r="B124" s="5"/>
      <c r="C124" s="146"/>
    </row>
    <row r="125" spans="2:3" x14ac:dyDescent="0.2">
      <c r="B125" s="149"/>
      <c r="C125" s="151"/>
    </row>
    <row r="126" spans="2:3" x14ac:dyDescent="0.2">
      <c r="B126" s="149"/>
      <c r="C126" s="151"/>
    </row>
    <row r="127" spans="2:3" x14ac:dyDescent="0.2">
      <c r="B127" s="149"/>
      <c r="C127" s="150"/>
    </row>
    <row r="128" spans="2:3" x14ac:dyDescent="0.2">
      <c r="B128" s="149"/>
      <c r="C128" s="150"/>
    </row>
    <row r="129" spans="2:3" x14ac:dyDescent="0.2">
      <c r="B129" s="149"/>
    </row>
    <row r="130" spans="2:3" x14ac:dyDescent="0.2">
      <c r="B130" s="149"/>
      <c r="C130" s="146"/>
    </row>
    <row r="131" spans="2:3" x14ac:dyDescent="0.2">
      <c r="B131" s="149"/>
      <c r="C131" s="146"/>
    </row>
    <row r="132" spans="2:3" x14ac:dyDescent="0.2">
      <c r="B132" s="5"/>
      <c r="C132" s="151"/>
    </row>
    <row r="133" spans="2:3" x14ac:dyDescent="0.2">
      <c r="B133" s="5"/>
      <c r="C133" s="151"/>
    </row>
    <row r="134" spans="2:3" x14ac:dyDescent="0.2">
      <c r="B134" s="5"/>
      <c r="C134" s="150"/>
    </row>
    <row r="135" spans="2:3" x14ac:dyDescent="0.2">
      <c r="B135" s="5"/>
      <c r="C135" s="150"/>
    </row>
    <row r="136" spans="2:3" x14ac:dyDescent="0.2">
      <c r="B136" s="5"/>
    </row>
    <row r="137" spans="2:3" x14ac:dyDescent="0.2">
      <c r="B137" s="5"/>
      <c r="C137" s="146"/>
    </row>
    <row r="138" spans="2:3" x14ac:dyDescent="0.2">
      <c r="B138" s="5"/>
      <c r="C138" s="146"/>
    </row>
    <row r="139" spans="2:3" x14ac:dyDescent="0.2">
      <c r="B139" s="149"/>
      <c r="C139" s="151"/>
    </row>
    <row r="140" spans="2:3" x14ac:dyDescent="0.2">
      <c r="B140" s="149"/>
      <c r="C140" s="151"/>
    </row>
    <row r="141" spans="2:3" x14ac:dyDescent="0.2">
      <c r="B141" s="149"/>
      <c r="C141" s="150"/>
    </row>
    <row r="142" spans="2:3" x14ac:dyDescent="0.2">
      <c r="B142" s="149"/>
      <c r="C142" s="150"/>
    </row>
    <row r="143" spans="2:3" x14ac:dyDescent="0.2">
      <c r="B143" s="149"/>
    </row>
    <row r="144" spans="2:3" x14ac:dyDescent="0.2">
      <c r="B144" s="149"/>
      <c r="C144" s="146"/>
    </row>
    <row r="145" spans="2:3" x14ac:dyDescent="0.2">
      <c r="B145" s="149"/>
      <c r="C145" s="146"/>
    </row>
    <row r="146" spans="2:3" x14ac:dyDescent="0.2">
      <c r="B146" s="5"/>
      <c r="C146" s="151"/>
    </row>
    <row r="147" spans="2:3" x14ac:dyDescent="0.2">
      <c r="B147" s="5"/>
      <c r="C147" s="151"/>
    </row>
    <row r="148" spans="2:3" x14ac:dyDescent="0.2">
      <c r="B148" s="5"/>
      <c r="C148" s="150"/>
    </row>
    <row r="149" spans="2:3" x14ac:dyDescent="0.2">
      <c r="B149" s="5"/>
      <c r="C149" s="150"/>
    </row>
    <row r="150" spans="2:3" x14ac:dyDescent="0.2">
      <c r="B150" s="5"/>
    </row>
    <row r="151" spans="2:3" x14ac:dyDescent="0.2">
      <c r="B151" s="5"/>
      <c r="C151" s="146"/>
    </row>
    <row r="152" spans="2:3" x14ac:dyDescent="0.2">
      <c r="B152" s="5"/>
      <c r="C152" s="146"/>
    </row>
  </sheetData>
  <mergeCells count="1">
    <mergeCell ref="C4:F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0" tint="-0.14999847407452621"/>
  </sheetPr>
  <dimension ref="A2:R528"/>
  <sheetViews>
    <sheetView workbookViewId="0"/>
  </sheetViews>
  <sheetFormatPr baseColWidth="10" defaultRowHeight="12.75" x14ac:dyDescent="0.2"/>
  <cols>
    <col min="1" max="1" width="19.140625" bestFit="1" customWidth="1"/>
    <col min="2" max="2" width="10" bestFit="1" customWidth="1"/>
    <col min="3" max="3" width="12.5703125" bestFit="1" customWidth="1"/>
    <col min="4" max="4" width="16.7109375" bestFit="1" customWidth="1"/>
    <col min="5" max="6" width="12.5703125" bestFit="1" customWidth="1"/>
    <col min="7" max="7" width="11.5703125" bestFit="1" customWidth="1"/>
    <col min="8" max="8" width="14.42578125" bestFit="1" customWidth="1"/>
    <col min="9" max="10" width="11.5703125" bestFit="1" customWidth="1"/>
    <col min="11" max="11" width="19.140625" bestFit="1" customWidth="1"/>
    <col min="12" max="12" width="10" bestFit="1" customWidth="1"/>
    <col min="13" max="13" width="12.28515625" bestFit="1" customWidth="1"/>
    <col min="14" max="14" width="10.140625" bestFit="1" customWidth="1"/>
    <col min="15" max="15" width="18.28515625" bestFit="1" customWidth="1"/>
    <col min="16" max="16" width="11.5703125" bestFit="1" customWidth="1"/>
    <col min="17" max="17" width="7.7109375" bestFit="1" customWidth="1"/>
    <col min="18" max="18" width="4.85546875" customWidth="1"/>
    <col min="19" max="19" width="11.5703125" bestFit="1" customWidth="1"/>
    <col min="20" max="20" width="9.140625" bestFit="1" customWidth="1"/>
    <col min="21" max="21" width="41.42578125" bestFit="1" customWidth="1"/>
    <col min="22" max="22" width="10.5703125" bestFit="1" customWidth="1"/>
    <col min="26" max="26" width="12.5703125" bestFit="1" customWidth="1"/>
  </cols>
  <sheetData>
    <row r="2" spans="2:18" x14ac:dyDescent="0.2">
      <c r="B2" s="15" t="s">
        <v>44</v>
      </c>
      <c r="C2" s="438" t="s">
        <v>155</v>
      </c>
      <c r="D2" s="438"/>
      <c r="E2" s="438"/>
      <c r="G2" s="15" t="s">
        <v>97</v>
      </c>
      <c r="H2" s="15" t="s">
        <v>161</v>
      </c>
      <c r="I2" s="15" t="s">
        <v>162</v>
      </c>
      <c r="J2" s="15" t="s">
        <v>163</v>
      </c>
      <c r="M2" s="15" t="s">
        <v>164</v>
      </c>
      <c r="N2" s="15" t="s">
        <v>165</v>
      </c>
      <c r="O2" s="15" t="s">
        <v>44</v>
      </c>
      <c r="Q2" s="20" t="s">
        <v>166</v>
      </c>
      <c r="R2" s="22" t="s">
        <v>52</v>
      </c>
    </row>
    <row r="3" spans="2:18" ht="12.75" customHeight="1" x14ac:dyDescent="0.2">
      <c r="B3" s="292"/>
      <c r="C3" s="439"/>
      <c r="D3" s="439"/>
      <c r="E3" s="439"/>
      <c r="G3" s="5">
        <v>5</v>
      </c>
      <c r="H3" s="114" t="s">
        <v>46</v>
      </c>
      <c r="I3" s="115">
        <v>80</v>
      </c>
      <c r="J3" s="291">
        <f t="shared" ref="J3:J9" si="0">I3/$I$10</f>
        <v>0.77594568380213391</v>
      </c>
      <c r="M3" s="104">
        <v>356500</v>
      </c>
      <c r="N3" s="103">
        <v>44116</v>
      </c>
      <c r="O3" s="6" t="s">
        <v>116</v>
      </c>
      <c r="Q3" s="26" t="s">
        <v>30</v>
      </c>
      <c r="R3" s="444" t="s">
        <v>30</v>
      </c>
    </row>
    <row r="4" spans="2:18" ht="12.75" customHeight="1" x14ac:dyDescent="0.2">
      <c r="B4" s="292"/>
      <c r="C4" s="439"/>
      <c r="D4" s="439"/>
      <c r="E4" s="439"/>
      <c r="G4" s="5">
        <v>4</v>
      </c>
      <c r="H4" s="114" t="s">
        <v>45</v>
      </c>
      <c r="I4" s="115">
        <v>15</v>
      </c>
      <c r="J4" s="291">
        <f t="shared" si="0"/>
        <v>0.14548981571290009</v>
      </c>
      <c r="M4" s="104">
        <v>405000</v>
      </c>
      <c r="N4" s="103">
        <v>44137</v>
      </c>
      <c r="O4" s="6" t="s">
        <v>117</v>
      </c>
      <c r="Q4" s="26" t="s">
        <v>29</v>
      </c>
      <c r="R4" s="444">
        <v>15</v>
      </c>
    </row>
    <row r="5" spans="2:18" ht="12.75" customHeight="1" x14ac:dyDescent="0.2">
      <c r="B5" s="292"/>
      <c r="C5" s="439"/>
      <c r="D5" s="439"/>
      <c r="E5" s="439"/>
      <c r="G5" s="5">
        <v>6</v>
      </c>
      <c r="H5" s="114" t="s">
        <v>47</v>
      </c>
      <c r="I5" s="115">
        <f>5/3*2</f>
        <v>3.3333333333333335</v>
      </c>
      <c r="J5" s="291">
        <f t="shared" si="0"/>
        <v>3.2331070158422244E-2</v>
      </c>
      <c r="M5" s="104">
        <v>465150</v>
      </c>
      <c r="N5" s="103">
        <v>44163</v>
      </c>
      <c r="O5" s="5" t="s">
        <v>118</v>
      </c>
      <c r="Q5" s="26" t="s">
        <v>8</v>
      </c>
      <c r="R5" s="444">
        <v>16</v>
      </c>
    </row>
    <row r="6" spans="2:18" ht="12.75" customHeight="1" x14ac:dyDescent="0.2">
      <c r="B6" s="292"/>
      <c r="C6" s="439"/>
      <c r="D6" s="439"/>
      <c r="E6" s="439"/>
      <c r="G6" s="5">
        <v>14</v>
      </c>
      <c r="H6" s="114" t="s">
        <v>51</v>
      </c>
      <c r="I6" s="116">
        <f>5/3*1</f>
        <v>1.6666666666666667</v>
      </c>
      <c r="J6" s="291">
        <f t="shared" si="0"/>
        <v>1.6165535079211122E-2</v>
      </c>
      <c r="M6" s="104">
        <v>488300</v>
      </c>
      <c r="N6" s="103">
        <v>44173</v>
      </c>
      <c r="O6" s="5" t="s">
        <v>119</v>
      </c>
      <c r="Q6" s="26" t="s">
        <v>10</v>
      </c>
      <c r="R6" s="444">
        <v>20</v>
      </c>
    </row>
    <row r="7" spans="2:18" ht="12.75" customHeight="1" x14ac:dyDescent="0.2">
      <c r="B7" s="293"/>
      <c r="C7" s="439"/>
      <c r="D7" s="439"/>
      <c r="E7" s="439"/>
      <c r="G7" s="5">
        <v>10</v>
      </c>
      <c r="H7" s="114" t="s">
        <v>49</v>
      </c>
      <c r="I7" s="115">
        <v>2</v>
      </c>
      <c r="J7" s="291">
        <f t="shared" si="0"/>
        <v>1.9398642095053348E-2</v>
      </c>
      <c r="M7" s="104">
        <v>595738</v>
      </c>
      <c r="N7" s="103">
        <v>44220</v>
      </c>
      <c r="O7" s="5" t="s">
        <v>120</v>
      </c>
      <c r="Q7" s="26" t="s">
        <v>13</v>
      </c>
      <c r="R7" s="444">
        <v>23</v>
      </c>
    </row>
    <row r="8" spans="2:18" x14ac:dyDescent="0.2">
      <c r="B8" s="293"/>
      <c r="C8" s="439"/>
      <c r="D8" s="439"/>
      <c r="E8" s="439"/>
      <c r="G8" s="5">
        <v>12</v>
      </c>
      <c r="H8" s="114" t="s">
        <v>50</v>
      </c>
      <c r="I8" s="115">
        <v>1</v>
      </c>
      <c r="J8" s="291">
        <f t="shared" si="0"/>
        <v>9.6993210475266739E-3</v>
      </c>
      <c r="M8" s="104">
        <v>678000</v>
      </c>
      <c r="N8" s="103">
        <v>44256</v>
      </c>
      <c r="O8" s="5" t="s">
        <v>121</v>
      </c>
      <c r="Q8" s="26" t="s">
        <v>2</v>
      </c>
      <c r="R8" s="444">
        <v>19</v>
      </c>
    </row>
    <row r="9" spans="2:18" x14ac:dyDescent="0.2">
      <c r="B9" s="293"/>
      <c r="C9" s="439"/>
      <c r="D9" s="439"/>
      <c r="E9" s="439"/>
      <c r="G9" s="5">
        <v>8</v>
      </c>
      <c r="H9" s="114" t="s">
        <v>48</v>
      </c>
      <c r="I9" s="115">
        <v>0.1</v>
      </c>
      <c r="J9" s="291">
        <f t="shared" si="0"/>
        <v>9.6993210475266743E-4</v>
      </c>
      <c r="M9" s="104">
        <v>733000</v>
      </c>
      <c r="N9" s="103">
        <v>44280</v>
      </c>
      <c r="O9" s="5" t="s">
        <v>122</v>
      </c>
      <c r="Q9" s="26" t="s">
        <v>4</v>
      </c>
      <c r="R9" s="444">
        <v>21</v>
      </c>
    </row>
    <row r="10" spans="2:18" x14ac:dyDescent="0.2">
      <c r="G10" s="5"/>
      <c r="H10" s="117" t="s">
        <v>18</v>
      </c>
      <c r="I10" s="118">
        <f>SUM(I3:I9)</f>
        <v>103.1</v>
      </c>
      <c r="J10" s="5"/>
      <c r="M10" s="104">
        <v>894000</v>
      </c>
      <c r="N10" s="103">
        <v>44350</v>
      </c>
      <c r="O10" s="6" t="s">
        <v>114</v>
      </c>
      <c r="Q10" s="26" t="s">
        <v>11</v>
      </c>
      <c r="R10" s="444">
        <v>22</v>
      </c>
    </row>
    <row r="11" spans="2:18" x14ac:dyDescent="0.2">
      <c r="B11" s="15" t="s">
        <v>154</v>
      </c>
      <c r="C11" s="15" t="s">
        <v>151</v>
      </c>
      <c r="D11" s="15" t="s">
        <v>152</v>
      </c>
      <c r="E11" s="15" t="s">
        <v>153</v>
      </c>
      <c r="M11" s="104">
        <v>895743</v>
      </c>
      <c r="N11" s="103">
        <v>44351</v>
      </c>
      <c r="O11" s="6" t="s">
        <v>115</v>
      </c>
      <c r="Q11" s="26" t="s">
        <v>3</v>
      </c>
      <c r="R11" s="444">
        <v>24</v>
      </c>
    </row>
    <row r="12" spans="2:18" x14ac:dyDescent="0.2">
      <c r="B12" s="216" t="s">
        <v>126</v>
      </c>
      <c r="C12" s="104">
        <v>1</v>
      </c>
      <c r="D12" s="101">
        <f t="shared" ref="D12:D19" si="1">C12/$B$22*$C$22</f>
        <v>5.071887427347813E-7</v>
      </c>
      <c r="E12" s="274">
        <f t="shared" ref="E12:E19" si="2">C12/$B$22</f>
        <v>3.0590394616090547E-5</v>
      </c>
      <c r="G12" s="15" t="s">
        <v>97</v>
      </c>
      <c r="H12" s="15" t="s">
        <v>161</v>
      </c>
      <c r="I12" s="15" t="s">
        <v>87</v>
      </c>
      <c r="J12" s="15" t="s">
        <v>88</v>
      </c>
      <c r="K12" s="15" t="s">
        <v>163</v>
      </c>
      <c r="M12" s="104">
        <v>1072000</v>
      </c>
      <c r="N12" s="103">
        <v>44413</v>
      </c>
      <c r="O12" s="5" t="s">
        <v>123</v>
      </c>
      <c r="Q12" s="26" t="s">
        <v>7</v>
      </c>
      <c r="R12" s="444">
        <v>26</v>
      </c>
    </row>
    <row r="13" spans="2:18" x14ac:dyDescent="0.2">
      <c r="B13" s="216" t="s">
        <v>130</v>
      </c>
      <c r="C13" s="104">
        <f>60/$D$22</f>
        <v>2</v>
      </c>
      <c r="D13" s="101">
        <f t="shared" si="1"/>
        <v>1.0143774854695626E-6</v>
      </c>
      <c r="E13" s="274">
        <f t="shared" si="2"/>
        <v>6.1180789232181094E-5</v>
      </c>
      <c r="G13" s="5">
        <v>17</v>
      </c>
      <c r="H13" s="5" t="s">
        <v>22</v>
      </c>
      <c r="I13" s="5" t="s">
        <v>29</v>
      </c>
      <c r="J13" s="5" t="s">
        <v>15</v>
      </c>
      <c r="K13" s="120">
        <v>0.5</v>
      </c>
      <c r="M13" s="104">
        <v>1367000</v>
      </c>
      <c r="N13" s="103">
        <v>44515</v>
      </c>
      <c r="O13" s="5" t="s">
        <v>124</v>
      </c>
      <c r="Q13" s="26" t="s">
        <v>5</v>
      </c>
      <c r="R13" s="444">
        <v>27</v>
      </c>
    </row>
    <row r="14" spans="2:18" x14ac:dyDescent="0.2">
      <c r="B14" s="216" t="s">
        <v>141</v>
      </c>
      <c r="C14" s="104">
        <f>C13*60</f>
        <v>120</v>
      </c>
      <c r="D14" s="101">
        <f t="shared" si="1"/>
        <v>6.0862649128173754E-5</v>
      </c>
      <c r="E14" s="274">
        <f t="shared" si="2"/>
        <v>3.6708473539308656E-3</v>
      </c>
      <c r="G14" s="5">
        <v>18</v>
      </c>
      <c r="H14" s="5" t="s">
        <v>21</v>
      </c>
      <c r="I14" s="5" t="s">
        <v>8</v>
      </c>
      <c r="J14" s="5" t="s">
        <v>29</v>
      </c>
      <c r="K14" s="120">
        <v>7.0400000000000004E-2</v>
      </c>
      <c r="M14" s="104">
        <v>1430640</v>
      </c>
      <c r="N14" s="103">
        <v>44537</v>
      </c>
      <c r="O14" s="5" t="s">
        <v>125</v>
      </c>
      <c r="Q14" s="26" t="s">
        <v>14</v>
      </c>
      <c r="R14" s="444">
        <v>28</v>
      </c>
    </row>
    <row r="15" spans="2:18" x14ac:dyDescent="0.2">
      <c r="B15" s="216" t="s">
        <v>142</v>
      </c>
      <c r="C15" s="104">
        <f>C14*24</f>
        <v>2880</v>
      </c>
      <c r="D15" s="101">
        <f t="shared" si="1"/>
        <v>1.4607035790761701E-3</v>
      </c>
      <c r="E15" s="274">
        <f t="shared" si="2"/>
        <v>8.8100336494340778E-2</v>
      </c>
      <c r="G15" s="5">
        <v>25</v>
      </c>
      <c r="H15" s="5" t="s">
        <v>27</v>
      </c>
      <c r="I15" s="5" t="s">
        <v>10</v>
      </c>
      <c r="J15" s="5" t="s">
        <v>29</v>
      </c>
      <c r="K15" s="120">
        <v>3.0800000000000001E-2</v>
      </c>
      <c r="M15" s="104">
        <v>1503143</v>
      </c>
      <c r="N15" s="103">
        <v>44563</v>
      </c>
      <c r="O15" s="5" t="s">
        <v>147</v>
      </c>
      <c r="Q15" s="26" t="s">
        <v>6</v>
      </c>
      <c r="R15" s="444">
        <v>29</v>
      </c>
    </row>
    <row r="16" spans="2:18" x14ac:dyDescent="0.2">
      <c r="B16" s="216" t="s">
        <v>143</v>
      </c>
      <c r="C16" s="104">
        <f>C15*7</f>
        <v>20160</v>
      </c>
      <c r="D16" s="101">
        <f t="shared" si="1"/>
        <v>1.0224925053533191E-2</v>
      </c>
      <c r="E16" s="274">
        <f t="shared" si="2"/>
        <v>0.61670235546038543</v>
      </c>
      <c r="G16" s="5">
        <v>33</v>
      </c>
      <c r="H16" s="5" t="s">
        <v>77</v>
      </c>
      <c r="I16" s="5" t="s">
        <v>2</v>
      </c>
      <c r="J16" s="5" t="s">
        <v>29</v>
      </c>
      <c r="K16" s="120">
        <v>2.7199999999999998E-2</v>
      </c>
      <c r="Q16" s="26" t="s">
        <v>9</v>
      </c>
      <c r="R16" s="444">
        <v>30</v>
      </c>
    </row>
    <row r="17" spans="2:18" x14ac:dyDescent="0.2">
      <c r="B17" s="216" t="s">
        <v>146</v>
      </c>
      <c r="C17" s="104">
        <f>$B$22</f>
        <v>32690</v>
      </c>
      <c r="D17" s="101">
        <f t="shared" si="1"/>
        <v>1.6580000000000001E-2</v>
      </c>
      <c r="E17" s="274">
        <f t="shared" si="2"/>
        <v>1</v>
      </c>
      <c r="G17" s="5">
        <v>32</v>
      </c>
      <c r="H17" s="5" t="s">
        <v>26</v>
      </c>
      <c r="I17" s="5" t="s">
        <v>13</v>
      </c>
      <c r="J17" s="6" t="s">
        <v>29</v>
      </c>
      <c r="K17" s="120">
        <v>1.6899999999999998E-2</v>
      </c>
      <c r="Q17" s="26" t="s">
        <v>17</v>
      </c>
      <c r="R17" s="444">
        <v>31</v>
      </c>
    </row>
    <row r="18" spans="2:18" x14ac:dyDescent="0.2">
      <c r="B18" s="216" t="s">
        <v>140</v>
      </c>
      <c r="C18" s="104">
        <f>C15*30</f>
        <v>86400</v>
      </c>
      <c r="D18" s="101">
        <f t="shared" si="1"/>
        <v>4.3821107372285104E-2</v>
      </c>
      <c r="E18" s="274">
        <f t="shared" si="2"/>
        <v>2.6430100948302231</v>
      </c>
      <c r="G18" s="5">
        <v>36</v>
      </c>
      <c r="H18" s="5" t="s">
        <v>80</v>
      </c>
      <c r="I18" s="5" t="s">
        <v>11</v>
      </c>
      <c r="J18" s="5" t="s">
        <v>29</v>
      </c>
      <c r="K18" s="120">
        <v>3.6799999999999999E-2</v>
      </c>
      <c r="Q18" s="26" t="s">
        <v>16</v>
      </c>
      <c r="R18" s="444">
        <v>34</v>
      </c>
    </row>
    <row r="19" spans="2:18" x14ac:dyDescent="0.2">
      <c r="B19" s="216" t="s">
        <v>139</v>
      </c>
      <c r="C19" s="104">
        <f>C15*365</f>
        <v>1051200</v>
      </c>
      <c r="D19" s="101">
        <f t="shared" si="1"/>
        <v>0.53315680636280216</v>
      </c>
      <c r="E19" s="274">
        <f t="shared" si="2"/>
        <v>32.156622820434386</v>
      </c>
      <c r="G19" s="5">
        <v>35</v>
      </c>
      <c r="H19" s="5" t="s">
        <v>79</v>
      </c>
      <c r="I19" s="5" t="s">
        <v>4</v>
      </c>
      <c r="J19" s="5" t="s">
        <v>29</v>
      </c>
      <c r="K19" s="120">
        <v>1.9199999999999998E-2</v>
      </c>
      <c r="Q19" s="26" t="s">
        <v>12</v>
      </c>
      <c r="R19" s="444">
        <v>37</v>
      </c>
    </row>
    <row r="20" spans="2:18" x14ac:dyDescent="0.2">
      <c r="G20" s="5">
        <v>42</v>
      </c>
      <c r="H20" s="5" t="s">
        <v>82</v>
      </c>
      <c r="I20" s="5" t="s">
        <v>3</v>
      </c>
      <c r="J20" s="5" t="s">
        <v>29</v>
      </c>
      <c r="K20" s="120">
        <v>2.1600000000000001E-2</v>
      </c>
      <c r="Q20" s="26" t="s">
        <v>186</v>
      </c>
      <c r="R20" s="444">
        <v>51</v>
      </c>
    </row>
    <row r="21" spans="2:18" x14ac:dyDescent="0.2">
      <c r="B21" s="15" t="s">
        <v>151</v>
      </c>
      <c r="C21" s="15" t="s">
        <v>152</v>
      </c>
      <c r="D21" s="15" t="s">
        <v>156</v>
      </c>
      <c r="G21" s="5">
        <v>38</v>
      </c>
      <c r="H21" s="5" t="s">
        <v>24</v>
      </c>
      <c r="I21" s="5" t="s">
        <v>7</v>
      </c>
      <c r="J21" s="5" t="s">
        <v>29</v>
      </c>
      <c r="K21" s="120">
        <v>7.9299999999999995E-2</v>
      </c>
      <c r="Q21" s="26" t="s">
        <v>187</v>
      </c>
      <c r="R21" s="444">
        <v>49</v>
      </c>
    </row>
    <row r="22" spans="2:18" x14ac:dyDescent="0.2">
      <c r="B22" s="102">
        <v>32690</v>
      </c>
      <c r="C22" s="101">
        <v>1.6580000000000001E-2</v>
      </c>
      <c r="D22" s="112">
        <v>30</v>
      </c>
      <c r="G22" s="5">
        <v>39</v>
      </c>
      <c r="H22" s="5" t="s">
        <v>25</v>
      </c>
      <c r="I22" s="5" t="s">
        <v>5</v>
      </c>
      <c r="J22" s="5" t="s">
        <v>29</v>
      </c>
      <c r="K22" s="120">
        <v>4.99E-2</v>
      </c>
      <c r="Q22" s="26" t="s">
        <v>188</v>
      </c>
      <c r="R22" s="444">
        <v>52</v>
      </c>
    </row>
    <row r="23" spans="2:18" x14ac:dyDescent="0.2">
      <c r="B23" s="440" t="s">
        <v>157</v>
      </c>
      <c r="C23" s="441"/>
      <c r="D23" s="442"/>
      <c r="G23" s="5">
        <v>43</v>
      </c>
      <c r="H23" s="5" t="s">
        <v>83</v>
      </c>
      <c r="I23" s="5" t="s">
        <v>14</v>
      </c>
      <c r="J23" s="5" t="s">
        <v>29</v>
      </c>
      <c r="K23" s="120">
        <v>7.1999999999999998E-3</v>
      </c>
      <c r="L23" s="85"/>
      <c r="Q23" s="27" t="s">
        <v>189</v>
      </c>
      <c r="R23" s="445">
        <v>50</v>
      </c>
    </row>
    <row r="24" spans="2:18" x14ac:dyDescent="0.2">
      <c r="G24" s="5">
        <v>46</v>
      </c>
      <c r="H24" s="5" t="s">
        <v>23</v>
      </c>
      <c r="I24" s="5" t="s">
        <v>6</v>
      </c>
      <c r="J24" s="5" t="s">
        <v>29</v>
      </c>
      <c r="K24" s="120">
        <v>9.7999999999999997E-3</v>
      </c>
    </row>
    <row r="25" spans="2:18" x14ac:dyDescent="0.2">
      <c r="B25" s="443" t="s">
        <v>158</v>
      </c>
      <c r="C25" s="443"/>
      <c r="G25" s="5">
        <v>40</v>
      </c>
      <c r="H25" s="5" t="s">
        <v>28</v>
      </c>
      <c r="I25" s="5" t="s">
        <v>9</v>
      </c>
      <c r="J25" s="5" t="s">
        <v>29</v>
      </c>
      <c r="K25" s="120">
        <v>5.1999999999999998E-3</v>
      </c>
    </row>
    <row r="26" spans="2:18" x14ac:dyDescent="0.2">
      <c r="B26" s="15" t="s">
        <v>159</v>
      </c>
      <c r="C26" s="120">
        <v>0.96938256680301504</v>
      </c>
      <c r="G26" s="5">
        <v>41</v>
      </c>
      <c r="H26" s="5" t="s">
        <v>41</v>
      </c>
      <c r="I26" s="5" t="s">
        <v>17</v>
      </c>
      <c r="J26" s="5" t="s">
        <v>29</v>
      </c>
      <c r="K26" s="120">
        <v>7.1000000000000004E-3</v>
      </c>
    </row>
    <row r="27" spans="2:18" x14ac:dyDescent="0.2">
      <c r="B27" s="15" t="s">
        <v>160</v>
      </c>
      <c r="C27" s="120">
        <v>0.76705550139557555</v>
      </c>
      <c r="G27" s="5">
        <v>44</v>
      </c>
      <c r="H27" s="5" t="s">
        <v>84</v>
      </c>
      <c r="I27" s="5" t="s">
        <v>16</v>
      </c>
      <c r="J27" s="5" t="s">
        <v>29</v>
      </c>
      <c r="K27" s="120">
        <v>5.4000000000000003E-3</v>
      </c>
    </row>
    <row r="28" spans="2:18" x14ac:dyDescent="0.2">
      <c r="G28" s="5">
        <v>45</v>
      </c>
      <c r="H28" s="5" t="s">
        <v>85</v>
      </c>
      <c r="I28" s="5" t="s">
        <v>12</v>
      </c>
      <c r="J28" s="5" t="s">
        <v>29</v>
      </c>
      <c r="K28" s="120">
        <v>1.0200000000000001E-2</v>
      </c>
    </row>
    <row r="29" spans="2:18" x14ac:dyDescent="0.2">
      <c r="G29" s="5">
        <v>54</v>
      </c>
      <c r="H29" s="5" t="s">
        <v>183</v>
      </c>
      <c r="I29" s="5" t="s">
        <v>187</v>
      </c>
      <c r="J29" s="5" t="s">
        <v>29</v>
      </c>
      <c r="K29" s="120">
        <v>2.7900000000000001E-2</v>
      </c>
    </row>
    <row r="30" spans="2:18" x14ac:dyDescent="0.2">
      <c r="G30" s="5">
        <v>55</v>
      </c>
      <c r="H30" s="5" t="s">
        <v>184</v>
      </c>
      <c r="I30" s="5" t="s">
        <v>188</v>
      </c>
      <c r="J30" s="5" t="s">
        <v>29</v>
      </c>
      <c r="K30" s="120">
        <v>3.6799999999999999E-2</v>
      </c>
    </row>
    <row r="31" spans="2:18" x14ac:dyDescent="0.2">
      <c r="G31" s="5">
        <v>56</v>
      </c>
      <c r="H31" s="5" t="s">
        <v>185</v>
      </c>
      <c r="I31" s="5" t="s">
        <v>189</v>
      </c>
      <c r="J31" s="5" t="s">
        <v>29</v>
      </c>
      <c r="K31" s="120">
        <v>2.8000000000000001E-2</v>
      </c>
    </row>
    <row r="32" spans="2:18" x14ac:dyDescent="0.2">
      <c r="G32" s="5">
        <v>53</v>
      </c>
      <c r="H32" s="5" t="s">
        <v>182</v>
      </c>
      <c r="I32" s="5" t="s">
        <v>186</v>
      </c>
      <c r="J32" s="5" t="s">
        <v>29</v>
      </c>
      <c r="K32" s="120">
        <v>1.0500000000000001E-2</v>
      </c>
    </row>
    <row r="37" spans="2:11" x14ac:dyDescent="0.2">
      <c r="B37" s="106"/>
      <c r="C37" s="106"/>
      <c r="D37" s="113">
        <f>SUM(E37:J37)</f>
        <v>1</v>
      </c>
      <c r="E37" s="107">
        <v>0.33329999999999999</v>
      </c>
      <c r="F37" s="107">
        <v>0.2545</v>
      </c>
      <c r="G37" s="107">
        <v>4.9099999999999998E-2</v>
      </c>
      <c r="H37" s="107">
        <v>2.0000000000000001E-4</v>
      </c>
      <c r="I37" s="107">
        <v>0.24679999999999999</v>
      </c>
      <c r="J37" s="107">
        <v>0.11609999999999999</v>
      </c>
    </row>
    <row r="38" spans="2:11" x14ac:dyDescent="0.2">
      <c r="B38" s="15" t="s">
        <v>167</v>
      </c>
      <c r="C38" s="15" t="s">
        <v>168</v>
      </c>
      <c r="D38" s="15" t="s">
        <v>169</v>
      </c>
      <c r="E38" s="15" t="s">
        <v>170</v>
      </c>
      <c r="F38" s="15" t="s">
        <v>171</v>
      </c>
      <c r="G38" s="15" t="s">
        <v>172</v>
      </c>
      <c r="H38" s="15" t="s">
        <v>173</v>
      </c>
      <c r="I38" s="15" t="s">
        <v>174</v>
      </c>
      <c r="J38" s="15" t="s">
        <v>175</v>
      </c>
      <c r="K38" s="15" t="s">
        <v>165</v>
      </c>
    </row>
    <row r="39" spans="2:11" x14ac:dyDescent="0.2">
      <c r="B39" s="108">
        <v>894000</v>
      </c>
      <c r="C39" s="5">
        <v>0</v>
      </c>
      <c r="D39" s="109">
        <v>405.04</v>
      </c>
      <c r="E39" s="110">
        <f t="shared" ref="E39:E66" si="3">D39*E$37</f>
        <v>134.999832</v>
      </c>
      <c r="F39" s="110">
        <f>$D39*F$37</f>
        <v>103.08268000000001</v>
      </c>
      <c r="G39" s="110">
        <f t="shared" ref="G39:J54" si="4">$D39*G$37</f>
        <v>19.887464000000001</v>
      </c>
      <c r="H39" s="110">
        <f t="shared" si="4"/>
        <v>8.1008000000000011E-2</v>
      </c>
      <c r="I39" s="110">
        <f t="shared" si="4"/>
        <v>99.963871999999995</v>
      </c>
      <c r="J39" s="110">
        <f t="shared" si="4"/>
        <v>47.025143999999997</v>
      </c>
      <c r="K39" s="5"/>
    </row>
    <row r="40" spans="2:11" x14ac:dyDescent="0.2">
      <c r="B40" s="108">
        <f t="shared" ref="B40:B103" si="5">B39+$B$22</f>
        <v>926690</v>
      </c>
      <c r="C40" s="5">
        <v>1</v>
      </c>
      <c r="D40" s="109">
        <f t="shared" ref="D40:D103" si="6">D39*(1-$C$22)</f>
        <v>398.3244368</v>
      </c>
      <c r="E40" s="110">
        <f t="shared" si="3"/>
        <v>132.76153478544001</v>
      </c>
      <c r="F40" s="110">
        <f t="shared" ref="F40:J71" si="7">$D40*F$37</f>
        <v>101.3735691656</v>
      </c>
      <c r="G40" s="110">
        <f t="shared" si="4"/>
        <v>19.557729846880001</v>
      </c>
      <c r="H40" s="110">
        <f t="shared" si="4"/>
        <v>7.9664887360000006E-2</v>
      </c>
      <c r="I40" s="110">
        <f t="shared" si="4"/>
        <v>98.306471002240002</v>
      </c>
      <c r="J40" s="110">
        <f t="shared" si="4"/>
        <v>46.24546711248</v>
      </c>
      <c r="K40" s="5"/>
    </row>
    <row r="41" spans="2:11" x14ac:dyDescent="0.2">
      <c r="B41" s="108">
        <f t="shared" si="5"/>
        <v>959380</v>
      </c>
      <c r="C41" s="5">
        <v>2</v>
      </c>
      <c r="D41" s="109">
        <f t="shared" si="6"/>
        <v>391.72021763785597</v>
      </c>
      <c r="E41" s="110">
        <f t="shared" si="3"/>
        <v>130.56034853869738</v>
      </c>
      <c r="F41" s="110">
        <f t="shared" si="7"/>
        <v>99.692795388834341</v>
      </c>
      <c r="G41" s="110">
        <f t="shared" si="4"/>
        <v>19.233462686018726</v>
      </c>
      <c r="H41" s="110">
        <f t="shared" si="4"/>
        <v>7.8344043527571197E-2</v>
      </c>
      <c r="I41" s="110">
        <f t="shared" si="4"/>
        <v>96.676549713022851</v>
      </c>
      <c r="J41" s="110">
        <f t="shared" si="4"/>
        <v>45.478717267755073</v>
      </c>
      <c r="K41" s="5"/>
    </row>
    <row r="42" spans="2:11" x14ac:dyDescent="0.2">
      <c r="B42" s="108">
        <f t="shared" si="5"/>
        <v>992070</v>
      </c>
      <c r="C42" s="5">
        <v>3</v>
      </c>
      <c r="D42" s="109">
        <f t="shared" si="6"/>
        <v>385.22549642942028</v>
      </c>
      <c r="E42" s="110">
        <f t="shared" si="3"/>
        <v>128.39565795992579</v>
      </c>
      <c r="F42" s="110">
        <f t="shared" si="7"/>
        <v>98.039888841287464</v>
      </c>
      <c r="G42" s="110">
        <f t="shared" si="4"/>
        <v>18.914571874684533</v>
      </c>
      <c r="H42" s="110">
        <f t="shared" si="4"/>
        <v>7.7045099285884058E-2</v>
      </c>
      <c r="I42" s="110">
        <f t="shared" si="4"/>
        <v>95.073652518780918</v>
      </c>
      <c r="J42" s="110">
        <f t="shared" si="4"/>
        <v>44.724680135455692</v>
      </c>
      <c r="K42" s="5"/>
    </row>
    <row r="43" spans="2:11" x14ac:dyDescent="0.2">
      <c r="B43" s="108">
        <f t="shared" si="5"/>
        <v>1024760</v>
      </c>
      <c r="C43" s="5">
        <v>4</v>
      </c>
      <c r="D43" s="109">
        <f t="shared" si="6"/>
        <v>378.83845769862046</v>
      </c>
      <c r="E43" s="110">
        <f t="shared" si="3"/>
        <v>126.2668579509502</v>
      </c>
      <c r="F43" s="110">
        <f t="shared" si="7"/>
        <v>96.414387484298913</v>
      </c>
      <c r="G43" s="110">
        <f t="shared" si="4"/>
        <v>18.600968273002263</v>
      </c>
      <c r="H43" s="110">
        <f t="shared" si="4"/>
        <v>7.5767691539724097E-2</v>
      </c>
      <c r="I43" s="110">
        <f t="shared" si="4"/>
        <v>93.49733136001953</v>
      </c>
      <c r="J43" s="110">
        <f t="shared" si="4"/>
        <v>43.983144938809836</v>
      </c>
      <c r="K43" s="5"/>
    </row>
    <row r="44" spans="2:11" x14ac:dyDescent="0.2">
      <c r="B44" s="108">
        <f t="shared" si="5"/>
        <v>1057450</v>
      </c>
      <c r="C44" s="5">
        <v>5</v>
      </c>
      <c r="D44" s="109">
        <f t="shared" si="6"/>
        <v>372.55731606997733</v>
      </c>
      <c r="E44" s="110">
        <f t="shared" si="3"/>
        <v>124.17335344612344</v>
      </c>
      <c r="F44" s="110">
        <f t="shared" si="7"/>
        <v>94.81583693980923</v>
      </c>
      <c r="G44" s="110">
        <f t="shared" si="4"/>
        <v>18.292564219035885</v>
      </c>
      <c r="H44" s="110">
        <f t="shared" si="4"/>
        <v>7.4511463213995474E-2</v>
      </c>
      <c r="I44" s="110">
        <f t="shared" si="4"/>
        <v>91.947145606070407</v>
      </c>
      <c r="J44" s="110">
        <f t="shared" si="4"/>
        <v>43.253904395724369</v>
      </c>
      <c r="K44" s="5"/>
    </row>
    <row r="45" spans="2:11" x14ac:dyDescent="0.2">
      <c r="B45" s="108">
        <f t="shared" si="5"/>
        <v>1090140</v>
      </c>
      <c r="C45" s="5">
        <v>6</v>
      </c>
      <c r="D45" s="109">
        <f t="shared" si="6"/>
        <v>366.38031576953711</v>
      </c>
      <c r="E45" s="110">
        <f t="shared" si="3"/>
        <v>122.11455924598671</v>
      </c>
      <c r="F45" s="110">
        <f t="shared" si="7"/>
        <v>93.243790363347202</v>
      </c>
      <c r="G45" s="110">
        <f t="shared" si="4"/>
        <v>17.98927350428427</v>
      </c>
      <c r="H45" s="110">
        <f t="shared" si="4"/>
        <v>7.3276063153907431E-2</v>
      </c>
      <c r="I45" s="110">
        <f t="shared" si="4"/>
        <v>90.422661931921752</v>
      </c>
      <c r="J45" s="110">
        <f t="shared" si="4"/>
        <v>42.536754660843258</v>
      </c>
      <c r="K45" s="5"/>
    </row>
    <row r="46" spans="2:11" x14ac:dyDescent="0.2">
      <c r="B46" s="108">
        <f t="shared" si="5"/>
        <v>1122830</v>
      </c>
      <c r="C46" s="5">
        <v>7</v>
      </c>
      <c r="D46" s="109">
        <f t="shared" si="6"/>
        <v>360.30573013407815</v>
      </c>
      <c r="E46" s="110">
        <f t="shared" si="3"/>
        <v>120.08989985368824</v>
      </c>
      <c r="F46" s="110">
        <f t="shared" si="7"/>
        <v>91.697808319122885</v>
      </c>
      <c r="G46" s="110">
        <f t="shared" si="4"/>
        <v>17.691011349583235</v>
      </c>
      <c r="H46" s="110">
        <f t="shared" si="4"/>
        <v>7.206114602681564E-2</v>
      </c>
      <c r="I46" s="110">
        <f t="shared" si="4"/>
        <v>88.923454197090479</v>
      </c>
      <c r="J46" s="110">
        <f t="shared" si="4"/>
        <v>41.831495268566471</v>
      </c>
      <c r="K46" s="5"/>
    </row>
    <row r="47" spans="2:11" x14ac:dyDescent="0.2">
      <c r="B47" s="108">
        <f t="shared" si="5"/>
        <v>1155520</v>
      </c>
      <c r="C47" s="5">
        <v>8</v>
      </c>
      <c r="D47" s="109">
        <f t="shared" si="6"/>
        <v>354.3318611284551</v>
      </c>
      <c r="E47" s="110">
        <f t="shared" si="3"/>
        <v>118.09880931411408</v>
      </c>
      <c r="F47" s="110">
        <f t="shared" si="7"/>
        <v>90.177458657191821</v>
      </c>
      <c r="G47" s="110">
        <f t="shared" si="4"/>
        <v>17.397694381407145</v>
      </c>
      <c r="H47" s="110">
        <f t="shared" si="4"/>
        <v>7.0866372225691018E-2</v>
      </c>
      <c r="I47" s="110">
        <f t="shared" si="4"/>
        <v>87.449103326502723</v>
      </c>
      <c r="J47" s="110">
        <f t="shared" si="4"/>
        <v>41.137929077013638</v>
      </c>
      <c r="K47" s="5"/>
    </row>
    <row r="48" spans="2:11" x14ac:dyDescent="0.2">
      <c r="B48" s="108">
        <f t="shared" si="5"/>
        <v>1188210</v>
      </c>
      <c r="C48" s="5">
        <v>9</v>
      </c>
      <c r="D48" s="109">
        <f t="shared" si="6"/>
        <v>348.45703887094533</v>
      </c>
      <c r="E48" s="110">
        <f t="shared" si="3"/>
        <v>116.14073105568608</v>
      </c>
      <c r="F48" s="110">
        <f t="shared" si="7"/>
        <v>88.682316392655594</v>
      </c>
      <c r="G48" s="110">
        <f t="shared" si="4"/>
        <v>17.109240608563415</v>
      </c>
      <c r="H48" s="110">
        <f t="shared" si="4"/>
        <v>6.9691407774189071E-2</v>
      </c>
      <c r="I48" s="110">
        <f t="shared" si="4"/>
        <v>85.999197193349303</v>
      </c>
      <c r="J48" s="110">
        <f t="shared" si="4"/>
        <v>40.455862212916749</v>
      </c>
      <c r="K48" s="5"/>
    </row>
    <row r="49" spans="1:11" x14ac:dyDescent="0.2">
      <c r="B49" s="108">
        <f t="shared" si="5"/>
        <v>1220900</v>
      </c>
      <c r="C49" s="5">
        <v>10</v>
      </c>
      <c r="D49" s="109">
        <f t="shared" si="6"/>
        <v>342.67962116646504</v>
      </c>
      <c r="E49" s="110">
        <f t="shared" si="3"/>
        <v>114.21511773478279</v>
      </c>
      <c r="F49" s="110">
        <f t="shared" si="7"/>
        <v>87.211963586865352</v>
      </c>
      <c r="G49" s="110">
        <f t="shared" si="4"/>
        <v>16.825569399273434</v>
      </c>
      <c r="H49" s="110">
        <f t="shared" si="4"/>
        <v>6.8535924233293008E-2</v>
      </c>
      <c r="I49" s="110">
        <f t="shared" si="4"/>
        <v>84.573330503883568</v>
      </c>
      <c r="J49" s="110">
        <f t="shared" si="4"/>
        <v>39.78510401742659</v>
      </c>
      <c r="K49" s="5"/>
    </row>
    <row r="50" spans="1:11" x14ac:dyDescent="0.2">
      <c r="B50" s="108">
        <f t="shared" si="5"/>
        <v>1253590</v>
      </c>
      <c r="C50" s="5">
        <v>11</v>
      </c>
      <c r="D50" s="109">
        <f t="shared" si="6"/>
        <v>336.99799304752503</v>
      </c>
      <c r="E50" s="110">
        <f t="shared" si="3"/>
        <v>112.32143108274009</v>
      </c>
      <c r="F50" s="110">
        <f t="shared" si="7"/>
        <v>85.765989230595125</v>
      </c>
      <c r="G50" s="110">
        <f t="shared" si="4"/>
        <v>16.546601458633479</v>
      </c>
      <c r="H50" s="110">
        <f t="shared" si="4"/>
        <v>6.7399598609505007E-2</v>
      </c>
      <c r="I50" s="110">
        <f t="shared" si="4"/>
        <v>83.171104684129176</v>
      </c>
      <c r="J50" s="110">
        <f t="shared" si="4"/>
        <v>39.125466992817657</v>
      </c>
      <c r="K50" s="5"/>
    </row>
    <row r="51" spans="1:11" x14ac:dyDescent="0.2">
      <c r="B51" s="108">
        <f t="shared" si="5"/>
        <v>1286280</v>
      </c>
      <c r="C51" s="5">
        <v>12</v>
      </c>
      <c r="D51" s="109">
        <f t="shared" si="6"/>
        <v>331.41056632279702</v>
      </c>
      <c r="E51" s="110">
        <f t="shared" si="3"/>
        <v>110.45914175538825</v>
      </c>
      <c r="F51" s="110">
        <f t="shared" si="7"/>
        <v>84.343989129151851</v>
      </c>
      <c r="G51" s="110">
        <f t="shared" si="4"/>
        <v>16.272258806449333</v>
      </c>
      <c r="H51" s="110">
        <f t="shared" si="4"/>
        <v>6.6282113264559406E-2</v>
      </c>
      <c r="I51" s="110">
        <f t="shared" si="4"/>
        <v>81.792127768466301</v>
      </c>
      <c r="J51" s="110">
        <f t="shared" si="4"/>
        <v>38.476766750076735</v>
      </c>
      <c r="K51" s="5"/>
    </row>
    <row r="52" spans="1:11" x14ac:dyDescent="0.2">
      <c r="B52" s="108">
        <f t="shared" si="5"/>
        <v>1318970</v>
      </c>
      <c r="C52" s="5">
        <v>13</v>
      </c>
      <c r="D52" s="109">
        <f t="shared" si="6"/>
        <v>325.91577913316502</v>
      </c>
      <c r="E52" s="110">
        <f t="shared" si="3"/>
        <v>108.62772918508389</v>
      </c>
      <c r="F52" s="110">
        <f t="shared" si="7"/>
        <v>82.9455657893905</v>
      </c>
      <c r="G52" s="110">
        <f t="shared" si="4"/>
        <v>16.002464755438403</v>
      </c>
      <c r="H52" s="110">
        <f t="shared" si="4"/>
        <v>6.5183155826633005E-2</v>
      </c>
      <c r="I52" s="110">
        <f t="shared" si="4"/>
        <v>80.436014290065117</v>
      </c>
      <c r="J52" s="110">
        <f t="shared" si="4"/>
        <v>37.838821957360459</v>
      </c>
      <c r="K52" s="5"/>
    </row>
    <row r="53" spans="1:11" x14ac:dyDescent="0.2">
      <c r="A53" s="111"/>
      <c r="B53" s="108">
        <f t="shared" si="5"/>
        <v>1351660</v>
      </c>
      <c r="C53" s="5">
        <v>14</v>
      </c>
      <c r="D53" s="109">
        <f t="shared" si="6"/>
        <v>320.5120955151371</v>
      </c>
      <c r="E53" s="110">
        <f t="shared" si="3"/>
        <v>106.8266814351952</v>
      </c>
      <c r="F53" s="110">
        <f t="shared" si="7"/>
        <v>81.570328308602399</v>
      </c>
      <c r="G53" s="110">
        <f t="shared" si="4"/>
        <v>15.737143889793231</v>
      </c>
      <c r="H53" s="110">
        <f t="shared" si="4"/>
        <v>6.4102419103027428E-2</v>
      </c>
      <c r="I53" s="110">
        <f t="shared" si="4"/>
        <v>79.102385173135829</v>
      </c>
      <c r="J53" s="110">
        <f t="shared" si="4"/>
        <v>37.211454289307419</v>
      </c>
      <c r="K53" s="5"/>
    </row>
    <row r="54" spans="1:11" x14ac:dyDescent="0.2">
      <c r="A54" s="111"/>
      <c r="B54" s="108">
        <f t="shared" si="5"/>
        <v>1384350</v>
      </c>
      <c r="C54" s="5">
        <v>15</v>
      </c>
      <c r="D54" s="109">
        <f t="shared" si="6"/>
        <v>315.19800497149612</v>
      </c>
      <c r="E54" s="110">
        <f t="shared" si="3"/>
        <v>105.05549505699965</v>
      </c>
      <c r="F54" s="110">
        <f t="shared" si="7"/>
        <v>80.217892265245766</v>
      </c>
      <c r="G54" s="110">
        <f t="shared" si="4"/>
        <v>15.476222044100458</v>
      </c>
      <c r="H54" s="110">
        <f t="shared" si="4"/>
        <v>6.3039600994299227E-2</v>
      </c>
      <c r="I54" s="110">
        <f t="shared" si="4"/>
        <v>77.790867626965237</v>
      </c>
      <c r="J54" s="110">
        <f t="shared" si="4"/>
        <v>36.5944883771907</v>
      </c>
      <c r="K54" s="5"/>
    </row>
    <row r="55" spans="1:11" x14ac:dyDescent="0.2">
      <c r="A55" s="111"/>
      <c r="B55" s="108">
        <f t="shared" si="5"/>
        <v>1417040</v>
      </c>
      <c r="C55" s="5">
        <v>16</v>
      </c>
      <c r="D55" s="109">
        <f t="shared" si="6"/>
        <v>309.9720220490687</v>
      </c>
      <c r="E55" s="110">
        <f t="shared" si="3"/>
        <v>103.3136749489546</v>
      </c>
      <c r="F55" s="110">
        <f t="shared" si="7"/>
        <v>78.887879611487989</v>
      </c>
      <c r="G55" s="110">
        <f t="shared" si="7"/>
        <v>15.219626282609273</v>
      </c>
      <c r="H55" s="110">
        <f t="shared" si="7"/>
        <v>6.1994404409813741E-2</v>
      </c>
      <c r="I55" s="110">
        <f t="shared" si="7"/>
        <v>76.501095041710158</v>
      </c>
      <c r="J55" s="110">
        <f t="shared" si="7"/>
        <v>35.987751759896874</v>
      </c>
      <c r="K55" s="5"/>
    </row>
    <row r="56" spans="1:11" x14ac:dyDescent="0.2">
      <c r="A56" s="111"/>
      <c r="B56" s="108">
        <f t="shared" si="5"/>
        <v>1449730</v>
      </c>
      <c r="C56" s="5">
        <v>17</v>
      </c>
      <c r="D56" s="109">
        <f t="shared" si="6"/>
        <v>304.83268592349515</v>
      </c>
      <c r="E56" s="110">
        <f t="shared" si="3"/>
        <v>101.60073421830093</v>
      </c>
      <c r="F56" s="110">
        <f t="shared" si="7"/>
        <v>77.579918567529518</v>
      </c>
      <c r="G56" s="110">
        <f t="shared" si="7"/>
        <v>14.967284878843611</v>
      </c>
      <c r="H56" s="110">
        <f t="shared" si="7"/>
        <v>6.0966537184699035E-2</v>
      </c>
      <c r="I56" s="110">
        <f t="shared" si="7"/>
        <v>75.232706885918603</v>
      </c>
      <c r="J56" s="110">
        <f t="shared" si="7"/>
        <v>35.391074835717788</v>
      </c>
      <c r="K56" s="5"/>
    </row>
    <row r="57" spans="1:11" x14ac:dyDescent="0.2">
      <c r="B57" s="108">
        <f t="shared" si="5"/>
        <v>1482420</v>
      </c>
      <c r="C57" s="5">
        <v>18</v>
      </c>
      <c r="D57" s="109">
        <f t="shared" si="6"/>
        <v>299.77855999088359</v>
      </c>
      <c r="E57" s="110">
        <f t="shared" si="3"/>
        <v>99.9161940449615</v>
      </c>
      <c r="F57" s="110">
        <f t="shared" si="7"/>
        <v>76.293643517679882</v>
      </c>
      <c r="G57" s="110">
        <f t="shared" si="7"/>
        <v>14.719127295552385</v>
      </c>
      <c r="H57" s="110">
        <f t="shared" si="7"/>
        <v>5.9955711998176724E-2</v>
      </c>
      <c r="I57" s="110">
        <f t="shared" si="7"/>
        <v>73.985348605750062</v>
      </c>
      <c r="J57" s="110">
        <f t="shared" si="7"/>
        <v>34.804290814941581</v>
      </c>
      <c r="K57" s="275">
        <v>44556.149965277778</v>
      </c>
    </row>
    <row r="58" spans="1:11" x14ac:dyDescent="0.2">
      <c r="B58" s="108">
        <f t="shared" si="5"/>
        <v>1515110</v>
      </c>
      <c r="C58" s="5">
        <v>19</v>
      </c>
      <c r="D58" s="109">
        <f t="shared" si="6"/>
        <v>294.80823146623476</v>
      </c>
      <c r="E58" s="110">
        <f t="shared" si="3"/>
        <v>98.259583547696039</v>
      </c>
      <c r="F58" s="110">
        <f t="shared" si="7"/>
        <v>75.028694908156751</v>
      </c>
      <c r="G58" s="110">
        <f t="shared" si="7"/>
        <v>14.475084164992126</v>
      </c>
      <c r="H58" s="110">
        <f t="shared" si="7"/>
        <v>5.8961646293246954E-2</v>
      </c>
      <c r="I58" s="110">
        <f t="shared" si="7"/>
        <v>72.758671525866731</v>
      </c>
      <c r="J58" s="110">
        <f t="shared" si="7"/>
        <v>34.227235673229856</v>
      </c>
      <c r="K58" s="275">
        <f t="shared" ref="K58:K121" si="8">K57+($D$22/24/60/60)*$B$22</f>
        <v>44567.500659722224</v>
      </c>
    </row>
    <row r="59" spans="1:11" x14ac:dyDescent="0.2">
      <c r="B59" s="108">
        <f t="shared" si="5"/>
        <v>1547800</v>
      </c>
      <c r="C59" s="5">
        <v>20</v>
      </c>
      <c r="D59" s="109">
        <f t="shared" si="6"/>
        <v>289.92031098852459</v>
      </c>
      <c r="E59" s="110">
        <f t="shared" si="3"/>
        <v>96.630439652475246</v>
      </c>
      <c r="F59" s="110">
        <f t="shared" si="7"/>
        <v>73.784719146579505</v>
      </c>
      <c r="G59" s="110">
        <f t="shared" si="7"/>
        <v>14.235087269536557</v>
      </c>
      <c r="H59" s="110">
        <f t="shared" si="7"/>
        <v>5.7984062197704918E-2</v>
      </c>
      <c r="I59" s="110">
        <f t="shared" si="7"/>
        <v>71.552332751967867</v>
      </c>
      <c r="J59" s="110">
        <f t="shared" si="7"/>
        <v>33.659748105767704</v>
      </c>
      <c r="K59" s="275">
        <f t="shared" si="8"/>
        <v>44578.851354166669</v>
      </c>
    </row>
    <row r="60" spans="1:11" x14ac:dyDescent="0.2">
      <c r="B60" s="108">
        <f t="shared" si="5"/>
        <v>1580490</v>
      </c>
      <c r="C60" s="5">
        <v>21</v>
      </c>
      <c r="D60" s="109">
        <f t="shared" si="6"/>
        <v>285.11343223233484</v>
      </c>
      <c r="E60" s="110">
        <f t="shared" si="3"/>
        <v>95.028306963037195</v>
      </c>
      <c r="F60" s="110">
        <f t="shared" si="7"/>
        <v>72.561368503129216</v>
      </c>
      <c r="G60" s="110">
        <f t="shared" si="7"/>
        <v>13.999069522607639</v>
      </c>
      <c r="H60" s="110">
        <f t="shared" si="7"/>
        <v>5.7022686446466971E-2</v>
      </c>
      <c r="I60" s="110">
        <f t="shared" si="7"/>
        <v>70.365995074940244</v>
      </c>
      <c r="J60" s="110">
        <f t="shared" si="7"/>
        <v>33.101669482174074</v>
      </c>
      <c r="K60" s="275">
        <f t="shared" si="8"/>
        <v>44590.202048611114</v>
      </c>
    </row>
    <row r="61" spans="1:11" x14ac:dyDescent="0.2">
      <c r="B61" s="108">
        <f t="shared" si="5"/>
        <v>1613180</v>
      </c>
      <c r="C61" s="5">
        <v>22</v>
      </c>
      <c r="D61" s="109">
        <f t="shared" si="6"/>
        <v>280.38625152592272</v>
      </c>
      <c r="E61" s="110">
        <f t="shared" si="3"/>
        <v>93.452737633590033</v>
      </c>
      <c r="F61" s="110">
        <f t="shared" si="7"/>
        <v>71.358301013347329</v>
      </c>
      <c r="G61" s="110">
        <f t="shared" si="7"/>
        <v>13.766964949922805</v>
      </c>
      <c r="H61" s="110">
        <f t="shared" si="7"/>
        <v>5.6077250305184546E-2</v>
      </c>
      <c r="I61" s="110">
        <f t="shared" si="7"/>
        <v>69.199326876597723</v>
      </c>
      <c r="J61" s="110">
        <f t="shared" si="7"/>
        <v>32.552843802159629</v>
      </c>
      <c r="K61" s="275">
        <f t="shared" si="8"/>
        <v>44601.552743055559</v>
      </c>
    </row>
    <row r="62" spans="1:11" x14ac:dyDescent="0.2">
      <c r="B62" s="108">
        <f t="shared" si="5"/>
        <v>1645870</v>
      </c>
      <c r="C62" s="5">
        <v>23</v>
      </c>
      <c r="D62" s="109">
        <f t="shared" si="6"/>
        <v>275.7374474756229</v>
      </c>
      <c r="E62" s="110">
        <f t="shared" si="3"/>
        <v>91.903291243625105</v>
      </c>
      <c r="F62" s="110">
        <f t="shared" si="7"/>
        <v>70.175180382546031</v>
      </c>
      <c r="G62" s="110">
        <f t="shared" si="7"/>
        <v>13.538708671053083</v>
      </c>
      <c r="H62" s="110">
        <f t="shared" si="7"/>
        <v>5.5147489495124581E-2</v>
      </c>
      <c r="I62" s="110">
        <f t="shared" si="7"/>
        <v>68.052002036983723</v>
      </c>
      <c r="J62" s="110">
        <f t="shared" si="7"/>
        <v>32.013117651919821</v>
      </c>
      <c r="K62" s="275">
        <f t="shared" si="8"/>
        <v>44612.903437500005</v>
      </c>
    </row>
    <row r="63" spans="1:11" x14ac:dyDescent="0.2">
      <c r="B63" s="108">
        <f t="shared" si="5"/>
        <v>1678560</v>
      </c>
      <c r="C63" s="5">
        <v>24</v>
      </c>
      <c r="D63" s="109">
        <f t="shared" si="6"/>
        <v>271.16572059647706</v>
      </c>
      <c r="E63" s="110">
        <f t="shared" si="3"/>
        <v>90.379534674805797</v>
      </c>
      <c r="F63" s="110">
        <f t="shared" si="7"/>
        <v>69.011675891803407</v>
      </c>
      <c r="G63" s="110">
        <f t="shared" si="7"/>
        <v>13.314236881287023</v>
      </c>
      <c r="H63" s="110">
        <f t="shared" si="7"/>
        <v>5.4233144119295411E-2</v>
      </c>
      <c r="I63" s="110">
        <f t="shared" si="7"/>
        <v>66.923699843210542</v>
      </c>
      <c r="J63" s="110">
        <f t="shared" si="7"/>
        <v>31.482340161250985</v>
      </c>
      <c r="K63" s="275">
        <f t="shared" si="8"/>
        <v>44624.25413194445</v>
      </c>
    </row>
    <row r="64" spans="1:11" x14ac:dyDescent="0.2">
      <c r="B64" s="108">
        <f t="shared" si="5"/>
        <v>1711250</v>
      </c>
      <c r="C64" s="5">
        <v>25</v>
      </c>
      <c r="D64" s="109">
        <f t="shared" si="6"/>
        <v>266.66979294898744</v>
      </c>
      <c r="E64" s="110">
        <f t="shared" si="3"/>
        <v>88.881041989897511</v>
      </c>
      <c r="F64" s="110">
        <f t="shared" si="7"/>
        <v>67.867462305517307</v>
      </c>
      <c r="G64" s="110">
        <f t="shared" si="7"/>
        <v>13.093486833795282</v>
      </c>
      <c r="H64" s="110">
        <f t="shared" si="7"/>
        <v>5.3333958589797489E-2</v>
      </c>
      <c r="I64" s="110">
        <f t="shared" si="7"/>
        <v>65.81410489981009</v>
      </c>
      <c r="J64" s="110">
        <f t="shared" si="7"/>
        <v>30.960362961377442</v>
      </c>
      <c r="K64" s="275">
        <f t="shared" si="8"/>
        <v>44635.604826388895</v>
      </c>
    </row>
    <row r="65" spans="2:11" x14ac:dyDescent="0.2">
      <c r="B65" s="108">
        <f t="shared" si="5"/>
        <v>1743940</v>
      </c>
      <c r="C65" s="5">
        <v>26</v>
      </c>
      <c r="D65" s="109">
        <f t="shared" si="6"/>
        <v>262.24840778189321</v>
      </c>
      <c r="E65" s="110">
        <f t="shared" si="3"/>
        <v>87.407394313704998</v>
      </c>
      <c r="F65" s="110">
        <f t="shared" si="7"/>
        <v>66.742219780491823</v>
      </c>
      <c r="G65" s="110">
        <f t="shared" si="7"/>
        <v>12.876396822090955</v>
      </c>
      <c r="H65" s="110">
        <f t="shared" si="7"/>
        <v>5.2449681556378643E-2</v>
      </c>
      <c r="I65" s="110">
        <f t="shared" si="7"/>
        <v>64.722907040571243</v>
      </c>
      <c r="J65" s="110">
        <f t="shared" si="7"/>
        <v>30.4470401434778</v>
      </c>
      <c r="K65" s="275">
        <f t="shared" si="8"/>
        <v>44646.95552083334</v>
      </c>
    </row>
    <row r="66" spans="2:11" x14ac:dyDescent="0.2">
      <c r="B66" s="108">
        <f t="shared" si="5"/>
        <v>1776630</v>
      </c>
      <c r="C66" s="5">
        <v>27</v>
      </c>
      <c r="D66" s="109">
        <f t="shared" si="6"/>
        <v>257.90032918086939</v>
      </c>
      <c r="E66" s="110">
        <f t="shared" si="3"/>
        <v>85.958179715983761</v>
      </c>
      <c r="F66" s="110">
        <f t="shared" si="7"/>
        <v>65.635633776531265</v>
      </c>
      <c r="G66" s="110">
        <f t="shared" si="7"/>
        <v>12.662906162780686</v>
      </c>
      <c r="H66" s="110">
        <f t="shared" si="7"/>
        <v>5.1580065836173881E-2</v>
      </c>
      <c r="I66" s="110">
        <f t="shared" si="7"/>
        <v>63.649801241838567</v>
      </c>
      <c r="J66" s="110">
        <f t="shared" si="7"/>
        <v>29.942228217898936</v>
      </c>
      <c r="K66" s="275">
        <f t="shared" si="8"/>
        <v>44658.306215277786</v>
      </c>
    </row>
    <row r="67" spans="2:11" x14ac:dyDescent="0.2">
      <c r="B67" s="108">
        <f t="shared" si="5"/>
        <v>1809320</v>
      </c>
      <c r="C67" s="5">
        <v>28</v>
      </c>
      <c r="D67" s="109">
        <f t="shared" si="6"/>
        <v>253.62434172305058</v>
      </c>
      <c r="E67" s="110">
        <f t="shared" ref="E67" si="9">D67*E$37</f>
        <v>84.532993096292756</v>
      </c>
      <c r="F67" s="110">
        <f t="shared" si="7"/>
        <v>64.547394968516372</v>
      </c>
      <c r="G67" s="110">
        <f t="shared" si="7"/>
        <v>12.452955178601783</v>
      </c>
      <c r="H67" s="110">
        <f t="shared" si="7"/>
        <v>5.0724868344610118E-2</v>
      </c>
      <c r="I67" s="110">
        <f t="shared" si="7"/>
        <v>62.594487537248881</v>
      </c>
      <c r="J67" s="110">
        <f t="shared" si="7"/>
        <v>29.445786074046172</v>
      </c>
      <c r="K67" s="275">
        <f t="shared" si="8"/>
        <v>44669.656909722231</v>
      </c>
    </row>
    <row r="68" spans="2:11" x14ac:dyDescent="0.2">
      <c r="B68" s="108">
        <f t="shared" si="5"/>
        <v>1842010</v>
      </c>
      <c r="C68" s="5">
        <v>29</v>
      </c>
      <c r="D68" s="109">
        <f t="shared" si="6"/>
        <v>249.41925013728238</v>
      </c>
      <c r="E68" s="110">
        <f t="shared" ref="E68" si="10">D68*E$37</f>
        <v>83.131436070756209</v>
      </c>
      <c r="F68" s="110">
        <f t="shared" si="7"/>
        <v>63.477199159938365</v>
      </c>
      <c r="G68" s="110">
        <f t="shared" si="7"/>
        <v>12.246485181740564</v>
      </c>
      <c r="H68" s="110">
        <f t="shared" si="7"/>
        <v>4.9883850027456475E-2</v>
      </c>
      <c r="I68" s="110">
        <f t="shared" si="7"/>
        <v>61.556670933881286</v>
      </c>
      <c r="J68" s="110">
        <f t="shared" si="7"/>
        <v>28.957574940938482</v>
      </c>
      <c r="K68" s="275">
        <f t="shared" si="8"/>
        <v>44681.007604166676</v>
      </c>
    </row>
    <row r="69" spans="2:11" x14ac:dyDescent="0.2">
      <c r="B69" s="108">
        <f t="shared" si="5"/>
        <v>1874700</v>
      </c>
      <c r="C69" s="5">
        <v>30</v>
      </c>
      <c r="D69" s="109">
        <f t="shared" si="6"/>
        <v>245.28387897000621</v>
      </c>
      <c r="E69" s="110">
        <f t="shared" ref="E69" si="11">D69*E$37</f>
        <v>81.753116860703074</v>
      </c>
      <c r="F69" s="110">
        <f t="shared" si="7"/>
        <v>62.42474719786658</v>
      </c>
      <c r="G69" s="110">
        <f t="shared" si="7"/>
        <v>12.043438457427305</v>
      </c>
      <c r="H69" s="110">
        <f t="shared" si="7"/>
        <v>4.9056775794001244E-2</v>
      </c>
      <c r="I69" s="110">
        <f t="shared" si="7"/>
        <v>60.536061329797533</v>
      </c>
      <c r="J69" s="110">
        <f t="shared" si="7"/>
        <v>28.47745834841772</v>
      </c>
      <c r="K69" s="275">
        <f t="shared" si="8"/>
        <v>44692.358298611121</v>
      </c>
    </row>
    <row r="70" spans="2:11" x14ac:dyDescent="0.2">
      <c r="B70" s="108">
        <f t="shared" si="5"/>
        <v>1907390</v>
      </c>
      <c r="C70" s="5">
        <v>31</v>
      </c>
      <c r="D70" s="109">
        <f t="shared" si="6"/>
        <v>241.21707225668351</v>
      </c>
      <c r="E70" s="110">
        <f t="shared" ref="E70" si="12">D70*E$37</f>
        <v>80.397650183152606</v>
      </c>
      <c r="F70" s="110">
        <f t="shared" si="7"/>
        <v>61.389744889325954</v>
      </c>
      <c r="G70" s="110">
        <f t="shared" si="7"/>
        <v>11.84375824780316</v>
      </c>
      <c r="H70" s="110">
        <f t="shared" si="7"/>
        <v>4.8243414451336702E-2</v>
      </c>
      <c r="I70" s="110">
        <f t="shared" si="7"/>
        <v>59.532373432949491</v>
      </c>
      <c r="J70" s="110">
        <f t="shared" si="7"/>
        <v>28.005302089000953</v>
      </c>
      <c r="K70" s="275">
        <f t="shared" si="8"/>
        <v>44703.708993055567</v>
      </c>
    </row>
    <row r="71" spans="2:11" x14ac:dyDescent="0.2">
      <c r="B71" s="108">
        <f t="shared" si="5"/>
        <v>1940080</v>
      </c>
      <c r="C71" s="5">
        <v>32</v>
      </c>
      <c r="D71" s="109">
        <f t="shared" si="6"/>
        <v>237.21769319866769</v>
      </c>
      <c r="E71" s="110">
        <f t="shared" ref="E71" si="13">D71*E$37</f>
        <v>79.064657143115937</v>
      </c>
      <c r="F71" s="110">
        <f t="shared" si="7"/>
        <v>60.371902919060929</v>
      </c>
      <c r="G71" s="110">
        <f t="shared" si="7"/>
        <v>11.647388736054584</v>
      </c>
      <c r="H71" s="110">
        <f t="shared" si="7"/>
        <v>4.7443538639733537E-2</v>
      </c>
      <c r="I71" s="110">
        <f t="shared" si="7"/>
        <v>58.545326681431185</v>
      </c>
      <c r="J71" s="110">
        <f t="shared" si="7"/>
        <v>27.540974180365318</v>
      </c>
      <c r="K71" s="275">
        <f t="shared" si="8"/>
        <v>44715.059687500012</v>
      </c>
    </row>
    <row r="72" spans="2:11" x14ac:dyDescent="0.2">
      <c r="B72" s="108">
        <f t="shared" si="5"/>
        <v>1972770</v>
      </c>
      <c r="C72" s="5">
        <v>33</v>
      </c>
      <c r="D72" s="109">
        <f t="shared" si="6"/>
        <v>233.28462384543377</v>
      </c>
      <c r="E72" s="110">
        <f t="shared" ref="E72" si="14">D72*E$37</f>
        <v>77.753765127683067</v>
      </c>
      <c r="F72" s="110">
        <f t="shared" ref="F72:J103" si="15">$D72*F$37</f>
        <v>59.370936768662894</v>
      </c>
      <c r="G72" s="110">
        <f t="shared" si="15"/>
        <v>11.454275030810798</v>
      </c>
      <c r="H72" s="110">
        <f t="shared" si="15"/>
        <v>4.6656924769086755E-2</v>
      </c>
      <c r="I72" s="110">
        <f t="shared" si="15"/>
        <v>57.574645165053056</v>
      </c>
      <c r="J72" s="110">
        <f t="shared" si="15"/>
        <v>27.08434482845486</v>
      </c>
      <c r="K72" s="275">
        <f t="shared" si="8"/>
        <v>44726.410381944457</v>
      </c>
    </row>
    <row r="73" spans="2:11" x14ac:dyDescent="0.2">
      <c r="B73" s="108">
        <f t="shared" si="5"/>
        <v>2005460</v>
      </c>
      <c r="C73" s="5">
        <v>34</v>
      </c>
      <c r="D73" s="109">
        <f t="shared" si="6"/>
        <v>229.41676478207646</v>
      </c>
      <c r="E73" s="110">
        <f t="shared" ref="E73" si="16">D73*E$37</f>
        <v>76.464607701866086</v>
      </c>
      <c r="F73" s="110">
        <f t="shared" si="15"/>
        <v>58.386566637038456</v>
      </c>
      <c r="G73" s="110">
        <f t="shared" si="15"/>
        <v>11.264363150799953</v>
      </c>
      <c r="H73" s="110">
        <f t="shared" si="15"/>
        <v>4.5883352956415296E-2</v>
      </c>
      <c r="I73" s="110">
        <f t="shared" si="15"/>
        <v>56.620057548216465</v>
      </c>
      <c r="J73" s="110">
        <f t="shared" si="15"/>
        <v>26.635286391199074</v>
      </c>
      <c r="K73" s="275">
        <f t="shared" si="8"/>
        <v>44737.761076388902</v>
      </c>
    </row>
    <row r="74" spans="2:11" x14ac:dyDescent="0.2">
      <c r="B74" s="108">
        <f t="shared" si="5"/>
        <v>2038150</v>
      </c>
      <c r="C74" s="5">
        <v>35</v>
      </c>
      <c r="D74" s="109">
        <f t="shared" si="6"/>
        <v>225.61303482198963</v>
      </c>
      <c r="E74" s="110">
        <f t="shared" ref="E74" si="17">D74*E$37</f>
        <v>75.196824506169136</v>
      </c>
      <c r="F74" s="110">
        <f t="shared" si="15"/>
        <v>57.418517362196361</v>
      </c>
      <c r="G74" s="110">
        <f t="shared" si="15"/>
        <v>11.07760000975969</v>
      </c>
      <c r="H74" s="110">
        <f t="shared" si="15"/>
        <v>4.5122606964397925E-2</v>
      </c>
      <c r="I74" s="110">
        <f t="shared" si="15"/>
        <v>55.68129699406704</v>
      </c>
      <c r="J74" s="110">
        <f t="shared" si="15"/>
        <v>26.193673342832994</v>
      </c>
      <c r="K74" s="275">
        <f t="shared" si="8"/>
        <v>44749.111770833348</v>
      </c>
    </row>
    <row r="75" spans="2:11" x14ac:dyDescent="0.2">
      <c r="B75" s="108">
        <f t="shared" si="5"/>
        <v>2070840</v>
      </c>
      <c r="C75" s="5">
        <v>36</v>
      </c>
      <c r="D75" s="109">
        <f t="shared" si="6"/>
        <v>221.87237070464104</v>
      </c>
      <c r="E75" s="110">
        <f t="shared" ref="E75" si="18">D75*E$37</f>
        <v>73.950061155856858</v>
      </c>
      <c r="F75" s="110">
        <f t="shared" si="15"/>
        <v>56.466518344331149</v>
      </c>
      <c r="G75" s="110">
        <f t="shared" si="15"/>
        <v>10.893933401597875</v>
      </c>
      <c r="H75" s="110">
        <f t="shared" si="15"/>
        <v>4.4374474140928211E-2</v>
      </c>
      <c r="I75" s="110">
        <f t="shared" si="15"/>
        <v>54.758101089905409</v>
      </c>
      <c r="J75" s="110">
        <f t="shared" si="15"/>
        <v>25.759382238808826</v>
      </c>
      <c r="K75" s="275">
        <f t="shared" si="8"/>
        <v>44760.462465277793</v>
      </c>
    </row>
    <row r="76" spans="2:11" x14ac:dyDescent="0.2">
      <c r="B76" s="108">
        <f t="shared" si="5"/>
        <v>2103530</v>
      </c>
      <c r="C76" s="5">
        <v>37</v>
      </c>
      <c r="D76" s="109">
        <f t="shared" si="6"/>
        <v>218.19372679835809</v>
      </c>
      <c r="E76" s="110">
        <f t="shared" ref="E76" si="19">D76*E$37</f>
        <v>72.723969141892752</v>
      </c>
      <c r="F76" s="110">
        <f t="shared" si="15"/>
        <v>55.530303470182133</v>
      </c>
      <c r="G76" s="110">
        <f t="shared" si="15"/>
        <v>10.713311985799381</v>
      </c>
      <c r="H76" s="110">
        <f t="shared" si="15"/>
        <v>4.3638745359671618E-2</v>
      </c>
      <c r="I76" s="110">
        <f t="shared" si="15"/>
        <v>53.850211773834772</v>
      </c>
      <c r="J76" s="110">
        <f t="shared" si="15"/>
        <v>25.332291681289373</v>
      </c>
      <c r="K76" s="275">
        <f t="shared" si="8"/>
        <v>44771.813159722238</v>
      </c>
    </row>
    <row r="77" spans="2:11" x14ac:dyDescent="0.2">
      <c r="B77" s="108">
        <f t="shared" si="5"/>
        <v>2136220</v>
      </c>
      <c r="C77" s="5">
        <v>38</v>
      </c>
      <c r="D77" s="109">
        <f t="shared" si="6"/>
        <v>214.57607480804131</v>
      </c>
      <c r="E77" s="110">
        <f t="shared" ref="E77" si="20">D77*E$37</f>
        <v>71.518205733520162</v>
      </c>
      <c r="F77" s="110">
        <f t="shared" si="15"/>
        <v>54.609611038646513</v>
      </c>
      <c r="G77" s="110">
        <f t="shared" si="15"/>
        <v>10.535685273074828</v>
      </c>
      <c r="H77" s="110">
        <f t="shared" si="15"/>
        <v>4.2915214961608265E-2</v>
      </c>
      <c r="I77" s="110">
        <f t="shared" si="15"/>
        <v>52.957375262624595</v>
      </c>
      <c r="J77" s="110">
        <f t="shared" si="15"/>
        <v>24.912282285213596</v>
      </c>
      <c r="K77" s="275">
        <f t="shared" si="8"/>
        <v>44783.163854166683</v>
      </c>
    </row>
    <row r="78" spans="2:11" x14ac:dyDescent="0.2">
      <c r="B78" s="108">
        <f t="shared" si="5"/>
        <v>2168910</v>
      </c>
      <c r="C78" s="5">
        <v>39</v>
      </c>
      <c r="D78" s="109">
        <f t="shared" si="6"/>
        <v>211.01840348772399</v>
      </c>
      <c r="E78" s="110">
        <f t="shared" ref="E78" si="21">D78*E$37</f>
        <v>70.332433882458403</v>
      </c>
      <c r="F78" s="110">
        <f t="shared" si="15"/>
        <v>53.704183687625758</v>
      </c>
      <c r="G78" s="110">
        <f t="shared" si="15"/>
        <v>10.361003611247247</v>
      </c>
      <c r="H78" s="110">
        <f t="shared" si="15"/>
        <v>4.22036806975448E-2</v>
      </c>
      <c r="I78" s="110">
        <f t="shared" si="15"/>
        <v>52.07934198077028</v>
      </c>
      <c r="J78" s="110">
        <f t="shared" si="15"/>
        <v>24.499236644924753</v>
      </c>
      <c r="K78" s="275">
        <f t="shared" si="8"/>
        <v>44794.514548611129</v>
      </c>
    </row>
    <row r="79" spans="2:11" x14ac:dyDescent="0.2">
      <c r="B79" s="108">
        <f t="shared" si="5"/>
        <v>2201600</v>
      </c>
      <c r="C79" s="5">
        <v>40</v>
      </c>
      <c r="D79" s="109">
        <f t="shared" si="6"/>
        <v>207.51971835789752</v>
      </c>
      <c r="E79" s="110">
        <f t="shared" ref="E79" si="22">D79*E$37</f>
        <v>69.166322128687241</v>
      </c>
      <c r="F79" s="110">
        <f t="shared" si="15"/>
        <v>52.813768322084918</v>
      </c>
      <c r="G79" s="110">
        <f t="shared" si="15"/>
        <v>10.189218171372767</v>
      </c>
      <c r="H79" s="110">
        <f t="shared" si="15"/>
        <v>4.1503943671579509E-2</v>
      </c>
      <c r="I79" s="110">
        <f t="shared" si="15"/>
        <v>51.215866490729105</v>
      </c>
      <c r="J79" s="110">
        <f t="shared" si="15"/>
        <v>24.093039301351901</v>
      </c>
      <c r="K79" s="275">
        <f t="shared" si="8"/>
        <v>44805.865243055574</v>
      </c>
    </row>
    <row r="80" spans="2:11" x14ac:dyDescent="0.2">
      <c r="B80" s="108">
        <f t="shared" si="5"/>
        <v>2234290</v>
      </c>
      <c r="C80" s="5">
        <v>41</v>
      </c>
      <c r="D80" s="109">
        <f t="shared" si="6"/>
        <v>204.07904142752358</v>
      </c>
      <c r="E80" s="110">
        <f t="shared" ref="E80" si="23">D80*E$37</f>
        <v>68.019544507793611</v>
      </c>
      <c r="F80" s="110">
        <f t="shared" si="15"/>
        <v>51.938116043304753</v>
      </c>
      <c r="G80" s="110">
        <f t="shared" si="15"/>
        <v>10.020280934091407</v>
      </c>
      <c r="H80" s="110">
        <f t="shared" si="15"/>
        <v>4.0815808285504719E-2</v>
      </c>
      <c r="I80" s="110">
        <f t="shared" si="15"/>
        <v>50.366707424312814</v>
      </c>
      <c r="J80" s="110">
        <f t="shared" si="15"/>
        <v>23.693576709735485</v>
      </c>
      <c r="K80" s="275">
        <f t="shared" si="8"/>
        <v>44817.215937500019</v>
      </c>
    </row>
    <row r="81" spans="2:11" x14ac:dyDescent="0.2">
      <c r="B81" s="108">
        <f t="shared" si="5"/>
        <v>2266980</v>
      </c>
      <c r="C81" s="5">
        <v>42</v>
      </c>
      <c r="D81" s="109">
        <f t="shared" si="6"/>
        <v>200.69541092065523</v>
      </c>
      <c r="E81" s="110">
        <f t="shared" ref="E81" si="24">D81*E$37</f>
        <v>66.891780459854388</v>
      </c>
      <c r="F81" s="110">
        <f t="shared" si="15"/>
        <v>51.076982079306759</v>
      </c>
      <c r="G81" s="110">
        <f t="shared" si="15"/>
        <v>9.8541446762041716</v>
      </c>
      <c r="H81" s="110">
        <f t="shared" si="15"/>
        <v>4.013908218413105E-2</v>
      </c>
      <c r="I81" s="110">
        <f t="shared" si="15"/>
        <v>49.531627415217713</v>
      </c>
      <c r="J81" s="110">
        <f t="shared" si="15"/>
        <v>23.300737207888073</v>
      </c>
      <c r="K81" s="275">
        <f t="shared" si="8"/>
        <v>44828.566631944464</v>
      </c>
    </row>
    <row r="82" spans="2:11" x14ac:dyDescent="0.2">
      <c r="B82" s="108">
        <f t="shared" si="5"/>
        <v>2299670</v>
      </c>
      <c r="C82" s="5">
        <v>43</v>
      </c>
      <c r="D82" s="109">
        <f t="shared" si="6"/>
        <v>197.36788100759077</v>
      </c>
      <c r="E82" s="110">
        <f t="shared" ref="E82" si="25">D82*E$37</f>
        <v>65.782714739829999</v>
      </c>
      <c r="F82" s="110">
        <f t="shared" si="15"/>
        <v>50.23012571643185</v>
      </c>
      <c r="G82" s="110">
        <f t="shared" si="15"/>
        <v>9.6907629574727068</v>
      </c>
      <c r="H82" s="110">
        <f t="shared" si="15"/>
        <v>3.9473576201518153E-2</v>
      </c>
      <c r="I82" s="110">
        <f t="shared" si="15"/>
        <v>48.710393032673402</v>
      </c>
      <c r="J82" s="110">
        <f t="shared" si="15"/>
        <v>22.914410984981288</v>
      </c>
      <c r="K82" s="275">
        <f t="shared" si="8"/>
        <v>44839.91732638891</v>
      </c>
    </row>
    <row r="83" spans="2:11" x14ac:dyDescent="0.2">
      <c r="B83" s="108">
        <f t="shared" si="5"/>
        <v>2332360</v>
      </c>
      <c r="C83" s="5">
        <v>44</v>
      </c>
      <c r="D83" s="109">
        <f t="shared" si="6"/>
        <v>194.0955215404849</v>
      </c>
      <c r="E83" s="110">
        <f t="shared" ref="E83" si="26">D83*E$37</f>
        <v>64.692037329443608</v>
      </c>
      <c r="F83" s="110">
        <f t="shared" si="15"/>
        <v>49.397310232053407</v>
      </c>
      <c r="G83" s="110">
        <f t="shared" si="15"/>
        <v>9.5300901076378075</v>
      </c>
      <c r="H83" s="110">
        <f t="shared" si="15"/>
        <v>3.8819104308096979E-2</v>
      </c>
      <c r="I83" s="110">
        <f t="shared" si="15"/>
        <v>47.902774716191672</v>
      </c>
      <c r="J83" s="110">
        <f t="shared" si="15"/>
        <v>22.534490050850295</v>
      </c>
      <c r="K83" s="275">
        <f t="shared" si="8"/>
        <v>44851.268020833355</v>
      </c>
    </row>
    <row r="84" spans="2:11" x14ac:dyDescent="0.2">
      <c r="B84" s="108">
        <f t="shared" si="5"/>
        <v>2365050</v>
      </c>
      <c r="C84" s="5">
        <v>45</v>
      </c>
      <c r="D84" s="109">
        <f t="shared" si="6"/>
        <v>190.87741779334365</v>
      </c>
      <c r="E84" s="110">
        <f t="shared" ref="E84" si="27">D84*E$37</f>
        <v>63.619443350521436</v>
      </c>
      <c r="F84" s="110">
        <f t="shared" si="15"/>
        <v>48.57830282840596</v>
      </c>
      <c r="G84" s="110">
        <f t="shared" si="15"/>
        <v>9.372081213653173</v>
      </c>
      <c r="H84" s="110">
        <f t="shared" si="15"/>
        <v>3.8175483558668732E-2</v>
      </c>
      <c r="I84" s="110">
        <f t="shared" si="15"/>
        <v>47.10854671139721</v>
      </c>
      <c r="J84" s="110">
        <f t="shared" si="15"/>
        <v>22.160868205807198</v>
      </c>
      <c r="K84" s="275">
        <f t="shared" si="8"/>
        <v>44862.6187152778</v>
      </c>
    </row>
    <row r="85" spans="2:11" x14ac:dyDescent="0.2">
      <c r="B85" s="108">
        <f t="shared" si="5"/>
        <v>2397740</v>
      </c>
      <c r="C85" s="5">
        <v>46</v>
      </c>
      <c r="D85" s="109">
        <f t="shared" si="6"/>
        <v>187.71267020633002</v>
      </c>
      <c r="E85" s="110">
        <f t="shared" ref="E85" si="28">D85*E$37</f>
        <v>62.56463297976979</v>
      </c>
      <c r="F85" s="110">
        <f t="shared" si="15"/>
        <v>47.772874567510989</v>
      </c>
      <c r="G85" s="110">
        <f t="shared" si="15"/>
        <v>9.2166921071308039</v>
      </c>
      <c r="H85" s="110">
        <f t="shared" si="15"/>
        <v>3.7542534041266007E-2</v>
      </c>
      <c r="I85" s="110">
        <f t="shared" si="15"/>
        <v>46.327487006922247</v>
      </c>
      <c r="J85" s="110">
        <f t="shared" si="15"/>
        <v>21.793441010954915</v>
      </c>
      <c r="K85" s="275">
        <f t="shared" si="8"/>
        <v>44873.969409722245</v>
      </c>
    </row>
    <row r="86" spans="2:11" x14ac:dyDescent="0.2">
      <c r="B86" s="108">
        <f t="shared" si="5"/>
        <v>2430430</v>
      </c>
      <c r="C86" s="5">
        <v>47</v>
      </c>
      <c r="D86" s="109">
        <f t="shared" si="6"/>
        <v>184.60039413430906</v>
      </c>
      <c r="E86" s="110">
        <f t="shared" ref="E86" si="29">D86*E$37</f>
        <v>61.527311364965207</v>
      </c>
      <c r="F86" s="110">
        <f t="shared" si="15"/>
        <v>46.980800307181653</v>
      </c>
      <c r="G86" s="110">
        <f t="shared" si="15"/>
        <v>9.063879351994574</v>
      </c>
      <c r="H86" s="110">
        <f t="shared" si="15"/>
        <v>3.692007882686181E-2</v>
      </c>
      <c r="I86" s="110">
        <f t="shared" si="15"/>
        <v>45.559377272347476</v>
      </c>
      <c r="J86" s="110">
        <f t="shared" si="15"/>
        <v>21.432105758993281</v>
      </c>
      <c r="K86" s="275">
        <f t="shared" si="8"/>
        <v>44885.320104166691</v>
      </c>
    </row>
    <row r="87" spans="2:11" x14ac:dyDescent="0.2">
      <c r="B87" s="108">
        <f t="shared" si="5"/>
        <v>2463120</v>
      </c>
      <c r="C87" s="5">
        <v>48</v>
      </c>
      <c r="D87" s="109">
        <f t="shared" si="6"/>
        <v>181.5397195995622</v>
      </c>
      <c r="E87" s="110">
        <f t="shared" ref="E87" si="30">D87*E$37</f>
        <v>60.507188542534081</v>
      </c>
      <c r="F87" s="110">
        <f t="shared" si="15"/>
        <v>46.201858638088581</v>
      </c>
      <c r="G87" s="110">
        <f t="shared" si="15"/>
        <v>8.9136002323385046</v>
      </c>
      <c r="H87" s="110">
        <f t="shared" si="15"/>
        <v>3.630794391991244E-2</v>
      </c>
      <c r="I87" s="110">
        <f t="shared" si="15"/>
        <v>44.804002797171954</v>
      </c>
      <c r="J87" s="110">
        <f t="shared" si="15"/>
        <v>21.07676144550917</v>
      </c>
      <c r="K87" s="275">
        <f t="shared" si="8"/>
        <v>44896.670798611136</v>
      </c>
    </row>
    <row r="88" spans="2:11" x14ac:dyDescent="0.2">
      <c r="B88" s="108">
        <f t="shared" si="5"/>
        <v>2495810</v>
      </c>
      <c r="C88" s="5">
        <v>49</v>
      </c>
      <c r="D88" s="109">
        <f t="shared" si="6"/>
        <v>178.52979104860145</v>
      </c>
      <c r="E88" s="110">
        <f t="shared" ref="E88" si="31">D88*E$37</f>
        <v>59.50397935649886</v>
      </c>
      <c r="F88" s="110">
        <f t="shared" si="15"/>
        <v>45.435831821869073</v>
      </c>
      <c r="G88" s="110">
        <f t="shared" si="15"/>
        <v>8.7658127404863304</v>
      </c>
      <c r="H88" s="110">
        <f t="shared" si="15"/>
        <v>3.5705958209720293E-2</v>
      </c>
      <c r="I88" s="110">
        <f t="shared" si="15"/>
        <v>44.061152430794834</v>
      </c>
      <c r="J88" s="110">
        <f t="shared" si="15"/>
        <v>20.727308740742629</v>
      </c>
      <c r="K88" s="275">
        <f t="shared" si="8"/>
        <v>44908.021493055581</v>
      </c>
    </row>
    <row r="89" spans="2:11" x14ac:dyDescent="0.2">
      <c r="B89" s="108">
        <f t="shared" si="5"/>
        <v>2528500</v>
      </c>
      <c r="C89" s="5">
        <v>50</v>
      </c>
      <c r="D89" s="109">
        <f t="shared" si="6"/>
        <v>175.56976711301564</v>
      </c>
      <c r="E89" s="110">
        <f t="shared" ref="E89" si="32">D89*E$37</f>
        <v>58.517403378768108</v>
      </c>
      <c r="F89" s="110">
        <f t="shared" si="15"/>
        <v>44.682505730262484</v>
      </c>
      <c r="G89" s="110">
        <f t="shared" si="15"/>
        <v>8.6204755652490679</v>
      </c>
      <c r="H89" s="110">
        <f t="shared" si="15"/>
        <v>3.5113953422603129E-2</v>
      </c>
      <c r="I89" s="110">
        <f t="shared" si="15"/>
        <v>43.330618523492262</v>
      </c>
      <c r="J89" s="110">
        <f t="shared" si="15"/>
        <v>20.383649961821114</v>
      </c>
      <c r="K89" s="275">
        <f t="shared" si="8"/>
        <v>44919.372187500026</v>
      </c>
    </row>
    <row r="90" spans="2:11" x14ac:dyDescent="0.2">
      <c r="B90" s="108">
        <f t="shared" si="5"/>
        <v>2561190</v>
      </c>
      <c r="C90" s="5">
        <v>51</v>
      </c>
      <c r="D90" s="109">
        <f t="shared" si="6"/>
        <v>172.65882037428185</v>
      </c>
      <c r="E90" s="110">
        <f t="shared" ref="E90" si="33">D90*E$37</f>
        <v>57.547184830748137</v>
      </c>
      <c r="F90" s="110">
        <f t="shared" si="15"/>
        <v>43.941669785254732</v>
      </c>
      <c r="G90" s="110">
        <f t="shared" si="15"/>
        <v>8.4775480803772378</v>
      </c>
      <c r="H90" s="110">
        <f t="shared" si="15"/>
        <v>3.4531764074856371E-2</v>
      </c>
      <c r="I90" s="110">
        <f t="shared" si="15"/>
        <v>42.612196868372756</v>
      </c>
      <c r="J90" s="110">
        <f t="shared" si="15"/>
        <v>20.045689045454122</v>
      </c>
      <c r="K90" s="275">
        <f t="shared" si="8"/>
        <v>44930.722881944472</v>
      </c>
    </row>
    <row r="91" spans="2:11" x14ac:dyDescent="0.2">
      <c r="B91" s="108">
        <f t="shared" si="5"/>
        <v>2593880</v>
      </c>
      <c r="C91" s="5">
        <v>52</v>
      </c>
      <c r="D91" s="109">
        <f t="shared" si="6"/>
        <v>169.79613713247625</v>
      </c>
      <c r="E91" s="110">
        <f t="shared" ref="E91" si="34">D91*E$37</f>
        <v>56.593052506254331</v>
      </c>
      <c r="F91" s="110">
        <f t="shared" si="15"/>
        <v>43.213116900215205</v>
      </c>
      <c r="G91" s="110">
        <f t="shared" si="15"/>
        <v>8.336990333204584</v>
      </c>
      <c r="H91" s="110">
        <f t="shared" si="15"/>
        <v>3.395922742649525E-2</v>
      </c>
      <c r="I91" s="110">
        <f t="shared" si="15"/>
        <v>41.905686644295137</v>
      </c>
      <c r="J91" s="110">
        <f t="shared" si="15"/>
        <v>19.713331521080491</v>
      </c>
      <c r="K91" s="275">
        <f t="shared" si="8"/>
        <v>44942.073576388917</v>
      </c>
    </row>
    <row r="92" spans="2:11" x14ac:dyDescent="0.2">
      <c r="B92" s="108">
        <f t="shared" si="5"/>
        <v>2626570</v>
      </c>
      <c r="C92" s="5">
        <v>53</v>
      </c>
      <c r="D92" s="109">
        <f t="shared" si="6"/>
        <v>166.98091717881979</v>
      </c>
      <c r="E92" s="110">
        <f t="shared" ref="E92" si="35">D92*E$37</f>
        <v>55.654739695700634</v>
      </c>
      <c r="F92" s="110">
        <f t="shared" si="15"/>
        <v>42.49664342200964</v>
      </c>
      <c r="G92" s="110">
        <f t="shared" si="15"/>
        <v>8.1987630334800521</v>
      </c>
      <c r="H92" s="110">
        <f t="shared" si="15"/>
        <v>3.3396183435763963E-2</v>
      </c>
      <c r="I92" s="110">
        <f t="shared" si="15"/>
        <v>41.210890359732723</v>
      </c>
      <c r="J92" s="110">
        <f t="shared" si="15"/>
        <v>19.386484484460976</v>
      </c>
      <c r="K92" s="275">
        <f t="shared" si="8"/>
        <v>44953.424270833362</v>
      </c>
    </row>
    <row r="93" spans="2:11" x14ac:dyDescent="0.2">
      <c r="B93" s="108">
        <f t="shared" si="5"/>
        <v>2659260</v>
      </c>
      <c r="C93" s="5">
        <v>54</v>
      </c>
      <c r="D93" s="109">
        <f t="shared" si="6"/>
        <v>164.21237357199496</v>
      </c>
      <c r="E93" s="110">
        <f t="shared" ref="E93" si="36">D93*E$37</f>
        <v>54.73198411154592</v>
      </c>
      <c r="F93" s="110">
        <f t="shared" si="15"/>
        <v>41.792049074072715</v>
      </c>
      <c r="G93" s="110">
        <f t="shared" si="15"/>
        <v>8.0628275423849516</v>
      </c>
      <c r="H93" s="110">
        <f t="shared" si="15"/>
        <v>3.2842474714398995E-2</v>
      </c>
      <c r="I93" s="110">
        <f t="shared" si="15"/>
        <v>40.527613797568357</v>
      </c>
      <c r="J93" s="110">
        <f t="shared" si="15"/>
        <v>19.065056571708613</v>
      </c>
      <c r="K93" s="275">
        <f t="shared" si="8"/>
        <v>44964.774965277807</v>
      </c>
    </row>
    <row r="94" spans="2:11" x14ac:dyDescent="0.2">
      <c r="B94" s="108">
        <f t="shared" si="5"/>
        <v>2691950</v>
      </c>
      <c r="C94" s="5">
        <v>55</v>
      </c>
      <c r="D94" s="109">
        <f t="shared" si="6"/>
        <v>161.48973241817129</v>
      </c>
      <c r="E94" s="110">
        <f t="shared" ref="E94" si="37">D94*E$37</f>
        <v>53.824527814976484</v>
      </c>
      <c r="F94" s="110">
        <f t="shared" si="15"/>
        <v>41.09913690042459</v>
      </c>
      <c r="G94" s="110">
        <f t="shared" si="15"/>
        <v>7.9291458617322101</v>
      </c>
      <c r="H94" s="110">
        <f t="shared" si="15"/>
        <v>3.2297946483634259E-2</v>
      </c>
      <c r="I94" s="110">
        <f t="shared" si="15"/>
        <v>39.855665960804671</v>
      </c>
      <c r="J94" s="110">
        <f t="shared" si="15"/>
        <v>18.748957933749686</v>
      </c>
      <c r="K94" s="275">
        <f t="shared" si="8"/>
        <v>44976.125659722253</v>
      </c>
    </row>
    <row r="95" spans="2:11" x14ac:dyDescent="0.2">
      <c r="B95" s="108">
        <f t="shared" si="5"/>
        <v>2724640</v>
      </c>
      <c r="C95" s="5">
        <v>56</v>
      </c>
      <c r="D95" s="109">
        <f t="shared" si="6"/>
        <v>158.81223265467801</v>
      </c>
      <c r="E95" s="110">
        <f t="shared" ref="E95" si="38">D95*E$37</f>
        <v>52.932117143804177</v>
      </c>
      <c r="F95" s="110">
        <f t="shared" si="15"/>
        <v>40.417713210615553</v>
      </c>
      <c r="G95" s="110">
        <f t="shared" si="15"/>
        <v>7.7976806233446903</v>
      </c>
      <c r="H95" s="110">
        <f t="shared" si="15"/>
        <v>3.1762446530935601E-2</v>
      </c>
      <c r="I95" s="110">
        <f t="shared" si="15"/>
        <v>39.19485901917453</v>
      </c>
      <c r="J95" s="110">
        <f t="shared" si="15"/>
        <v>18.438100211208116</v>
      </c>
      <c r="K95" s="275">
        <f t="shared" si="8"/>
        <v>44987.476354166698</v>
      </c>
    </row>
    <row r="96" spans="2:11" x14ac:dyDescent="0.2">
      <c r="B96" s="108">
        <f t="shared" si="5"/>
        <v>2757330</v>
      </c>
      <c r="C96" s="5">
        <v>57</v>
      </c>
      <c r="D96" s="109">
        <f t="shared" si="6"/>
        <v>156.17912583726346</v>
      </c>
      <c r="E96" s="110">
        <f t="shared" ref="E96" si="39">D96*E$37</f>
        <v>52.054502641559907</v>
      </c>
      <c r="F96" s="110">
        <f t="shared" si="15"/>
        <v>39.747587525583548</v>
      </c>
      <c r="G96" s="110">
        <f t="shared" si="15"/>
        <v>7.6683950786096355</v>
      </c>
      <c r="H96" s="110">
        <f t="shared" si="15"/>
        <v>3.1235825167452692E-2</v>
      </c>
      <c r="I96" s="110">
        <f t="shared" si="15"/>
        <v>38.545008256636621</v>
      </c>
      <c r="J96" s="110">
        <f t="shared" si="15"/>
        <v>18.132396509706286</v>
      </c>
      <c r="K96" s="275">
        <f t="shared" si="8"/>
        <v>44998.827048611143</v>
      </c>
    </row>
    <row r="97" spans="2:11" x14ac:dyDescent="0.2">
      <c r="B97" s="108">
        <f t="shared" si="5"/>
        <v>2790020</v>
      </c>
      <c r="C97" s="5">
        <v>58</v>
      </c>
      <c r="D97" s="109">
        <f t="shared" si="6"/>
        <v>153.58967593088161</v>
      </c>
      <c r="E97" s="110">
        <f t="shared" ref="E97" si="40">D97*E$37</f>
        <v>51.191438987762837</v>
      </c>
      <c r="F97" s="110">
        <f t="shared" si="15"/>
        <v>39.088572524409372</v>
      </c>
      <c r="G97" s="110">
        <f t="shared" si="15"/>
        <v>7.5412530882062869</v>
      </c>
      <c r="H97" s="110">
        <f t="shared" si="15"/>
        <v>3.0717935186176323E-2</v>
      </c>
      <c r="I97" s="110">
        <f t="shared" si="15"/>
        <v>37.905932019741577</v>
      </c>
      <c r="J97" s="110">
        <f t="shared" si="15"/>
        <v>17.831761375575354</v>
      </c>
      <c r="K97" s="275">
        <f t="shared" si="8"/>
        <v>45010.177743055589</v>
      </c>
    </row>
    <row r="98" spans="2:11" x14ac:dyDescent="0.2">
      <c r="B98" s="108">
        <f t="shared" si="5"/>
        <v>2822710</v>
      </c>
      <c r="C98" s="5">
        <v>59</v>
      </c>
      <c r="D98" s="109">
        <f t="shared" si="6"/>
        <v>151.0431591039476</v>
      </c>
      <c r="E98" s="110">
        <f t="shared" ref="E98" si="41">D98*E$37</f>
        <v>50.342684929345737</v>
      </c>
      <c r="F98" s="110">
        <f t="shared" si="15"/>
        <v>38.440483991954665</v>
      </c>
      <c r="G98" s="110">
        <f t="shared" si="15"/>
        <v>7.4162191120038266</v>
      </c>
      <c r="H98" s="110">
        <f t="shared" si="15"/>
        <v>3.0208631820789523E-2</v>
      </c>
      <c r="I98" s="110">
        <f t="shared" si="15"/>
        <v>37.277451666854269</v>
      </c>
      <c r="J98" s="110">
        <f t="shared" si="15"/>
        <v>17.536110771968314</v>
      </c>
      <c r="K98" s="275">
        <f t="shared" si="8"/>
        <v>45021.528437500034</v>
      </c>
    </row>
    <row r="99" spans="2:11" x14ac:dyDescent="0.2">
      <c r="B99" s="108">
        <f t="shared" si="5"/>
        <v>2855400</v>
      </c>
      <c r="C99" s="5">
        <v>60</v>
      </c>
      <c r="D99" s="109">
        <f t="shared" si="6"/>
        <v>148.53886352600415</v>
      </c>
      <c r="E99" s="110">
        <f t="shared" ref="E99" si="42">D99*E$37</f>
        <v>49.508003213217179</v>
      </c>
      <c r="F99" s="110">
        <f t="shared" si="15"/>
        <v>37.803140767368056</v>
      </c>
      <c r="G99" s="110">
        <f t="shared" si="15"/>
        <v>7.2932581991268037</v>
      </c>
      <c r="H99" s="110">
        <f t="shared" si="15"/>
        <v>2.9707772705200832E-2</v>
      </c>
      <c r="I99" s="110">
        <f t="shared" si="15"/>
        <v>36.659391518217824</v>
      </c>
      <c r="J99" s="110">
        <f t="shared" si="15"/>
        <v>17.245362055369082</v>
      </c>
      <c r="K99" s="275">
        <f t="shared" si="8"/>
        <v>45032.879131944479</v>
      </c>
    </row>
    <row r="100" spans="2:11" x14ac:dyDescent="0.2">
      <c r="B100" s="108">
        <f t="shared" si="5"/>
        <v>2888090</v>
      </c>
      <c r="C100" s="5">
        <v>61</v>
      </c>
      <c r="D100" s="109">
        <f t="shared" si="6"/>
        <v>146.07608916874298</v>
      </c>
      <c r="E100" s="110">
        <f t="shared" ref="E100" si="43">D100*E$37</f>
        <v>48.687160519942033</v>
      </c>
      <c r="F100" s="110">
        <f t="shared" si="15"/>
        <v>37.176364693445088</v>
      </c>
      <c r="G100" s="110">
        <f t="shared" si="15"/>
        <v>7.1723359781852798</v>
      </c>
      <c r="H100" s="110">
        <f t="shared" si="15"/>
        <v>2.9215217833748596E-2</v>
      </c>
      <c r="I100" s="110">
        <f t="shared" si="15"/>
        <v>36.051578806845768</v>
      </c>
      <c r="J100" s="110">
        <f t="shared" si="15"/>
        <v>16.959433952491061</v>
      </c>
      <c r="K100" s="275">
        <f t="shared" si="8"/>
        <v>45044.229826388924</v>
      </c>
    </row>
    <row r="101" spans="2:11" x14ac:dyDescent="0.2">
      <c r="B101" s="108">
        <f t="shared" si="5"/>
        <v>2920780</v>
      </c>
      <c r="C101" s="5">
        <v>62</v>
      </c>
      <c r="D101" s="109">
        <f t="shared" si="6"/>
        <v>143.65414761032523</v>
      </c>
      <c r="E101" s="110">
        <f t="shared" ref="E101:E107" si="44">D101*E$37</f>
        <v>47.879927398521396</v>
      </c>
      <c r="F101" s="110">
        <f>$D101*F$37</f>
        <v>36.559980566827768</v>
      </c>
      <c r="G101" s="110">
        <f t="shared" ref="G101:J101" si="45">$D101*G$37</f>
        <v>7.0534186476669678</v>
      </c>
      <c r="H101" s="110">
        <f t="shared" si="45"/>
        <v>2.8730829522065047E-2</v>
      </c>
      <c r="I101" s="110">
        <f t="shared" si="45"/>
        <v>35.453843630228263</v>
      </c>
      <c r="J101" s="110">
        <f t="shared" si="45"/>
        <v>16.678246537558756</v>
      </c>
      <c r="K101" s="275">
        <f t="shared" si="8"/>
        <v>45055.58052083337</v>
      </c>
    </row>
    <row r="102" spans="2:11" x14ac:dyDescent="0.2">
      <c r="B102" s="108">
        <f t="shared" si="5"/>
        <v>2953470</v>
      </c>
      <c r="C102" s="5">
        <v>63</v>
      </c>
      <c r="D102" s="109">
        <f t="shared" si="6"/>
        <v>141.27236184294603</v>
      </c>
      <c r="E102" s="110">
        <f t="shared" si="44"/>
        <v>47.086078202253908</v>
      </c>
      <c r="F102" s="110">
        <f t="shared" si="15"/>
        <v>35.953816089029765</v>
      </c>
      <c r="G102" s="110">
        <f t="shared" si="15"/>
        <v>6.9364729664886493</v>
      </c>
      <c r="H102" s="110">
        <f t="shared" si="15"/>
        <v>2.8254472368589207E-2</v>
      </c>
      <c r="I102" s="110">
        <f t="shared" si="15"/>
        <v>34.86601890283908</v>
      </c>
      <c r="J102" s="110">
        <f t="shared" si="15"/>
        <v>16.401721209966034</v>
      </c>
      <c r="K102" s="275">
        <f t="shared" si="8"/>
        <v>45066.931215277815</v>
      </c>
    </row>
    <row r="103" spans="2:11" x14ac:dyDescent="0.2">
      <c r="B103" s="108">
        <f t="shared" si="5"/>
        <v>2986160</v>
      </c>
      <c r="C103" s="5">
        <v>64</v>
      </c>
      <c r="D103" s="109">
        <f t="shared" si="6"/>
        <v>138.93006608358996</v>
      </c>
      <c r="E103" s="110">
        <f t="shared" si="44"/>
        <v>46.305391025660533</v>
      </c>
      <c r="F103" s="110">
        <f t="shared" si="15"/>
        <v>35.357701818273647</v>
      </c>
      <c r="G103" s="110">
        <f t="shared" si="15"/>
        <v>6.8214662447042667</v>
      </c>
      <c r="H103" s="110">
        <f t="shared" si="15"/>
        <v>2.7786013216717993E-2</v>
      </c>
      <c r="I103" s="110">
        <f t="shared" si="15"/>
        <v>34.287940309429999</v>
      </c>
      <c r="J103" s="110">
        <f t="shared" si="15"/>
        <v>16.129780672304793</v>
      </c>
      <c r="K103" s="275">
        <f t="shared" si="8"/>
        <v>45078.28190972226</v>
      </c>
    </row>
    <row r="104" spans="2:11" x14ac:dyDescent="0.2">
      <c r="B104" s="108">
        <f t="shared" ref="B104:B167" si="46">B103+$B$22</f>
        <v>3018850</v>
      </c>
      <c r="C104" s="5">
        <v>65</v>
      </c>
      <c r="D104" s="109">
        <f t="shared" ref="D104:D167" si="47">D103*(1-$C$22)</f>
        <v>136.62660558792405</v>
      </c>
      <c r="E104" s="110">
        <f t="shared" si="44"/>
        <v>45.537647642455084</v>
      </c>
      <c r="F104" s="110">
        <f t="shared" ref="F104:J154" si="48">$D104*F$37</f>
        <v>34.77147112212667</v>
      </c>
      <c r="G104" s="110">
        <f t="shared" si="48"/>
        <v>6.7083663343670707</v>
      </c>
      <c r="H104" s="110">
        <f t="shared" si="48"/>
        <v>2.732532111758481E-2</v>
      </c>
      <c r="I104" s="110">
        <f t="shared" si="48"/>
        <v>33.719446259099655</v>
      </c>
      <c r="J104" s="110">
        <f t="shared" si="48"/>
        <v>15.862348908757982</v>
      </c>
      <c r="K104" s="275">
        <f t="shared" si="8"/>
        <v>45089.632604166705</v>
      </c>
    </row>
    <row r="105" spans="2:11" x14ac:dyDescent="0.2">
      <c r="B105" s="108">
        <f t="shared" si="46"/>
        <v>3051540</v>
      </c>
      <c r="C105" s="5">
        <v>66</v>
      </c>
      <c r="D105" s="109">
        <f t="shared" si="47"/>
        <v>134.36133646727626</v>
      </c>
      <c r="E105" s="110">
        <f t="shared" si="44"/>
        <v>44.782633444543173</v>
      </c>
      <c r="F105" s="110">
        <f t="shared" si="48"/>
        <v>34.194960130921807</v>
      </c>
      <c r="G105" s="110">
        <f t="shared" si="48"/>
        <v>6.5971416205432645</v>
      </c>
      <c r="H105" s="110">
        <f t="shared" si="48"/>
        <v>2.6872267293455255E-2</v>
      </c>
      <c r="I105" s="110">
        <f t="shared" si="48"/>
        <v>33.160377840123779</v>
      </c>
      <c r="J105" s="110">
        <f t="shared" si="48"/>
        <v>15.599351163850773</v>
      </c>
      <c r="K105" s="275">
        <f t="shared" si="8"/>
        <v>45100.983298611151</v>
      </c>
    </row>
    <row r="106" spans="2:11" x14ac:dyDescent="0.2">
      <c r="B106" s="108">
        <f t="shared" si="46"/>
        <v>3084230</v>
      </c>
      <c r="C106" s="5">
        <v>67</v>
      </c>
      <c r="D106" s="109">
        <f t="shared" si="47"/>
        <v>132.13362550864881</v>
      </c>
      <c r="E106" s="110">
        <f t="shared" si="44"/>
        <v>44.040137382032647</v>
      </c>
      <c r="F106" s="110">
        <f t="shared" si="48"/>
        <v>33.628007691951119</v>
      </c>
      <c r="G106" s="110">
        <f t="shared" si="48"/>
        <v>6.4877610124746559</v>
      </c>
      <c r="H106" s="110">
        <f t="shared" si="48"/>
        <v>2.6426725101729762E-2</v>
      </c>
      <c r="I106" s="110">
        <f t="shared" si="48"/>
        <v>32.610578775534528</v>
      </c>
      <c r="J106" s="110">
        <f t="shared" si="48"/>
        <v>15.340713921554126</v>
      </c>
      <c r="K106" s="275">
        <f t="shared" si="8"/>
        <v>45112.333993055596</v>
      </c>
    </row>
    <row r="107" spans="2:11" x14ac:dyDescent="0.2">
      <c r="B107" s="108">
        <f t="shared" si="46"/>
        <v>3116920</v>
      </c>
      <c r="C107" s="5">
        <v>68</v>
      </c>
      <c r="D107" s="109">
        <f t="shared" si="47"/>
        <v>129.9428499977154</v>
      </c>
      <c r="E107" s="110">
        <f t="shared" si="44"/>
        <v>43.309951904238538</v>
      </c>
      <c r="F107" s="110">
        <f t="shared" si="48"/>
        <v>33.070455324418567</v>
      </c>
      <c r="G107" s="110">
        <f t="shared" si="48"/>
        <v>6.380193934887826</v>
      </c>
      <c r="H107" s="110">
        <f t="shared" si="48"/>
        <v>2.598856999954308E-2</v>
      </c>
      <c r="I107" s="110">
        <f t="shared" si="48"/>
        <v>32.069895379436161</v>
      </c>
      <c r="J107" s="110">
        <f t="shared" si="48"/>
        <v>15.086364884734758</v>
      </c>
      <c r="K107" s="275">
        <f t="shared" si="8"/>
        <v>45123.684687500041</v>
      </c>
    </row>
    <row r="108" spans="2:11" x14ac:dyDescent="0.2">
      <c r="B108" s="108">
        <f t="shared" si="46"/>
        <v>3149610</v>
      </c>
      <c r="C108" s="5">
        <v>69</v>
      </c>
      <c r="D108" s="109">
        <f t="shared" si="47"/>
        <v>127.78839754475327</v>
      </c>
      <c r="E108" s="110">
        <f t="shared" ref="E108:E171" si="49">D108*E$37</f>
        <v>42.591872901666264</v>
      </c>
      <c r="F108" s="110">
        <f t="shared" si="48"/>
        <v>32.522147175139708</v>
      </c>
      <c r="G108" s="110">
        <f t="shared" si="48"/>
        <v>6.2744103194473855</v>
      </c>
      <c r="H108" s="110">
        <f t="shared" si="48"/>
        <v>2.5557679508950656E-2</v>
      </c>
      <c r="I108" s="110">
        <f t="shared" si="48"/>
        <v>31.538176514045105</v>
      </c>
      <c r="J108" s="110">
        <f t="shared" si="48"/>
        <v>14.836232954945853</v>
      </c>
      <c r="K108" s="275">
        <f t="shared" si="8"/>
        <v>45135.035381944486</v>
      </c>
    </row>
    <row r="109" spans="2:11" x14ac:dyDescent="0.2">
      <c r="B109" s="108">
        <f t="shared" si="46"/>
        <v>3182300</v>
      </c>
      <c r="C109" s="5">
        <v>70</v>
      </c>
      <c r="D109" s="109">
        <f t="shared" si="47"/>
        <v>125.66966591346126</v>
      </c>
      <c r="E109" s="110">
        <f t="shared" si="49"/>
        <v>41.885699648956638</v>
      </c>
      <c r="F109" s="110">
        <f t="shared" si="48"/>
        <v>31.982929974975892</v>
      </c>
      <c r="G109" s="110">
        <f t="shared" si="48"/>
        <v>6.1703805963509479</v>
      </c>
      <c r="H109" s="110">
        <f t="shared" si="48"/>
        <v>2.5133933182692254E-2</v>
      </c>
      <c r="I109" s="110">
        <f t="shared" si="48"/>
        <v>31.015273547442238</v>
      </c>
      <c r="J109" s="110">
        <f t="shared" si="48"/>
        <v>14.590248212552851</v>
      </c>
      <c r="K109" s="275">
        <f t="shared" si="8"/>
        <v>45146.386076388932</v>
      </c>
    </row>
    <row r="110" spans="2:11" x14ac:dyDescent="0.2">
      <c r="B110" s="108">
        <f t="shared" si="46"/>
        <v>3214990</v>
      </c>
      <c r="C110" s="5">
        <v>71</v>
      </c>
      <c r="D110" s="109">
        <f t="shared" si="47"/>
        <v>123.58606285261607</v>
      </c>
      <c r="E110" s="110">
        <f t="shared" si="49"/>
        <v>41.191234748776935</v>
      </c>
      <c r="F110" s="110">
        <f t="shared" si="48"/>
        <v>31.452652995990789</v>
      </c>
      <c r="G110" s="110">
        <f t="shared" si="48"/>
        <v>6.068075686063449</v>
      </c>
      <c r="H110" s="110">
        <f t="shared" si="48"/>
        <v>2.4717212570523214E-2</v>
      </c>
      <c r="I110" s="110">
        <f t="shared" si="48"/>
        <v>30.501040312025644</v>
      </c>
      <c r="J110" s="110">
        <f t="shared" si="48"/>
        <v>14.348341897188725</v>
      </c>
      <c r="K110" s="275">
        <f t="shared" si="8"/>
        <v>45157.736770833377</v>
      </c>
    </row>
    <row r="111" spans="2:11" x14ac:dyDescent="0.2">
      <c r="B111" s="108">
        <f t="shared" si="46"/>
        <v>3247680</v>
      </c>
      <c r="C111" s="5">
        <v>72</v>
      </c>
      <c r="D111" s="109">
        <f t="shared" si="47"/>
        <v>121.53700593051968</v>
      </c>
      <c r="E111" s="110">
        <f t="shared" si="49"/>
        <v>40.508284076642205</v>
      </c>
      <c r="F111" s="110">
        <f t="shared" si="48"/>
        <v>30.931168009317261</v>
      </c>
      <c r="G111" s="110">
        <f t="shared" si="48"/>
        <v>5.9674669911885161</v>
      </c>
      <c r="H111" s="110">
        <f t="shared" si="48"/>
        <v>2.4307401186103937E-2</v>
      </c>
      <c r="I111" s="110">
        <f t="shared" si="48"/>
        <v>29.995333063652257</v>
      </c>
      <c r="J111" s="110">
        <f t="shared" si="48"/>
        <v>14.110446388533335</v>
      </c>
      <c r="K111" s="275">
        <f t="shared" si="8"/>
        <v>45169.087465277822</v>
      </c>
    </row>
    <row r="112" spans="2:11" x14ac:dyDescent="0.2">
      <c r="B112" s="108">
        <f t="shared" si="46"/>
        <v>3280370</v>
      </c>
      <c r="C112" s="5">
        <v>73</v>
      </c>
      <c r="D112" s="109">
        <f t="shared" si="47"/>
        <v>119.52192237219167</v>
      </c>
      <c r="E112" s="110">
        <f t="shared" si="49"/>
        <v>39.836656726651483</v>
      </c>
      <c r="F112" s="110">
        <f t="shared" si="48"/>
        <v>30.418329243722781</v>
      </c>
      <c r="G112" s="110">
        <f t="shared" si="48"/>
        <v>5.8685263884746108</v>
      </c>
      <c r="H112" s="110">
        <f t="shared" si="48"/>
        <v>2.3904384474438333E-2</v>
      </c>
      <c r="I112" s="110">
        <f t="shared" si="48"/>
        <v>29.498010441456902</v>
      </c>
      <c r="J112" s="110">
        <f t="shared" si="48"/>
        <v>13.876495187411452</v>
      </c>
      <c r="K112" s="275">
        <f t="shared" si="8"/>
        <v>45180.438159722267</v>
      </c>
    </row>
    <row r="113" spans="2:11" x14ac:dyDescent="0.2">
      <c r="B113" s="108">
        <f t="shared" si="46"/>
        <v>3313060</v>
      </c>
      <c r="C113" s="5">
        <v>74</v>
      </c>
      <c r="D113" s="109">
        <f t="shared" si="47"/>
        <v>117.54024889926073</v>
      </c>
      <c r="E113" s="110">
        <f t="shared" si="49"/>
        <v>39.1761649581236</v>
      </c>
      <c r="F113" s="110">
        <f t="shared" si="48"/>
        <v>29.913993344861858</v>
      </c>
      <c r="G113" s="110">
        <f t="shared" si="48"/>
        <v>5.771226220953702</v>
      </c>
      <c r="H113" s="110">
        <f t="shared" si="48"/>
        <v>2.3508049779852148E-2</v>
      </c>
      <c r="I113" s="110">
        <f t="shared" si="48"/>
        <v>29.008933428337549</v>
      </c>
      <c r="J113" s="110">
        <f t="shared" si="48"/>
        <v>13.64642289720417</v>
      </c>
      <c r="K113" s="275">
        <f t="shared" si="8"/>
        <v>45191.788854166713</v>
      </c>
    </row>
    <row r="114" spans="2:11" x14ac:dyDescent="0.2">
      <c r="B114" s="108">
        <f t="shared" si="46"/>
        <v>3345750</v>
      </c>
      <c r="C114" s="5">
        <v>75</v>
      </c>
      <c r="D114" s="109">
        <f t="shared" si="47"/>
        <v>115.59143157251098</v>
      </c>
      <c r="E114" s="110">
        <f t="shared" si="49"/>
        <v>38.526624143117907</v>
      </c>
      <c r="F114" s="110">
        <f t="shared" si="48"/>
        <v>29.418019335204047</v>
      </c>
      <c r="G114" s="110">
        <f t="shared" si="48"/>
        <v>5.6755392902102892</v>
      </c>
      <c r="H114" s="110">
        <f t="shared" si="48"/>
        <v>2.3118286314502197E-2</v>
      </c>
      <c r="I114" s="110">
        <f t="shared" si="48"/>
        <v>28.527965312095709</v>
      </c>
      <c r="J114" s="110">
        <f t="shared" si="48"/>
        <v>13.420165205568525</v>
      </c>
      <c r="K114" s="275">
        <f t="shared" si="8"/>
        <v>45203.139548611158</v>
      </c>
    </row>
    <row r="115" spans="2:11" x14ac:dyDescent="0.2">
      <c r="B115" s="108">
        <f t="shared" si="46"/>
        <v>3378440</v>
      </c>
      <c r="C115" s="5">
        <v>76</v>
      </c>
      <c r="D115" s="109">
        <f t="shared" si="47"/>
        <v>113.67492563703875</v>
      </c>
      <c r="E115" s="110">
        <f t="shared" si="49"/>
        <v>37.887852714825016</v>
      </c>
      <c r="F115" s="110">
        <f t="shared" si="48"/>
        <v>28.930268574626364</v>
      </c>
      <c r="G115" s="110">
        <f t="shared" si="48"/>
        <v>5.5814388487786024</v>
      </c>
      <c r="H115" s="110">
        <f t="shared" si="48"/>
        <v>2.273498512740775E-2</v>
      </c>
      <c r="I115" s="110">
        <f t="shared" si="48"/>
        <v>28.054971647221162</v>
      </c>
      <c r="J115" s="110">
        <f t="shared" si="48"/>
        <v>13.197658866460198</v>
      </c>
      <c r="K115" s="275">
        <f t="shared" si="8"/>
        <v>45214.490243055603</v>
      </c>
    </row>
    <row r="116" spans="2:11" x14ac:dyDescent="0.2">
      <c r="B116" s="108">
        <f t="shared" si="46"/>
        <v>3411130</v>
      </c>
      <c r="C116" s="5">
        <v>77</v>
      </c>
      <c r="D116" s="109">
        <f t="shared" si="47"/>
        <v>111.79019536997664</v>
      </c>
      <c r="E116" s="110">
        <f t="shared" si="49"/>
        <v>37.259672116813213</v>
      </c>
      <c r="F116" s="110">
        <f t="shared" si="48"/>
        <v>28.450604721659055</v>
      </c>
      <c r="G116" s="110">
        <f t="shared" si="48"/>
        <v>5.4888985926658531</v>
      </c>
      <c r="H116" s="110">
        <f t="shared" si="48"/>
        <v>2.235803907399533E-2</v>
      </c>
      <c r="I116" s="110">
        <f t="shared" si="48"/>
        <v>27.589820217310233</v>
      </c>
      <c r="J116" s="110">
        <f t="shared" si="48"/>
        <v>12.978841682454288</v>
      </c>
      <c r="K116" s="275">
        <f t="shared" si="8"/>
        <v>45225.840937500048</v>
      </c>
    </row>
    <row r="117" spans="2:11" x14ac:dyDescent="0.2">
      <c r="B117" s="108">
        <f t="shared" si="46"/>
        <v>3443820</v>
      </c>
      <c r="C117" s="5">
        <v>78</v>
      </c>
      <c r="D117" s="109">
        <f t="shared" si="47"/>
        <v>109.93671393074243</v>
      </c>
      <c r="E117" s="110">
        <f t="shared" si="49"/>
        <v>36.641906753116452</v>
      </c>
      <c r="F117" s="110">
        <f t="shared" si="48"/>
        <v>27.978893695373948</v>
      </c>
      <c r="G117" s="110">
        <f t="shared" si="48"/>
        <v>5.3978926539994534</v>
      </c>
      <c r="H117" s="110">
        <f t="shared" si="48"/>
        <v>2.1987342786148487E-2</v>
      </c>
      <c r="I117" s="110">
        <f t="shared" si="48"/>
        <v>27.13238099810723</v>
      </c>
      <c r="J117" s="110">
        <f t="shared" si="48"/>
        <v>12.763652487359195</v>
      </c>
      <c r="K117" s="275">
        <f t="shared" si="8"/>
        <v>45237.191631944494</v>
      </c>
    </row>
    <row r="118" spans="2:11" x14ac:dyDescent="0.2">
      <c r="B118" s="108">
        <f t="shared" si="46"/>
        <v>3476510</v>
      </c>
      <c r="C118" s="5">
        <v>79</v>
      </c>
      <c r="D118" s="109">
        <f t="shared" si="47"/>
        <v>108.11396321377072</v>
      </c>
      <c r="E118" s="110">
        <f t="shared" si="49"/>
        <v>36.034383939149777</v>
      </c>
      <c r="F118" s="110">
        <f t="shared" si="48"/>
        <v>27.515003637904648</v>
      </c>
      <c r="G118" s="110">
        <f t="shared" si="48"/>
        <v>5.308395593796142</v>
      </c>
      <c r="H118" s="110">
        <f t="shared" si="48"/>
        <v>2.1622792642754143E-2</v>
      </c>
      <c r="I118" s="110">
        <f t="shared" si="48"/>
        <v>26.682526121158613</v>
      </c>
      <c r="J118" s="110">
        <f t="shared" si="48"/>
        <v>12.552031129118779</v>
      </c>
      <c r="K118" s="275">
        <f t="shared" si="8"/>
        <v>45248.542326388939</v>
      </c>
    </row>
    <row r="119" spans="2:11" x14ac:dyDescent="0.2">
      <c r="B119" s="108">
        <f t="shared" si="46"/>
        <v>3509200</v>
      </c>
      <c r="C119" s="5">
        <v>80</v>
      </c>
      <c r="D119" s="109">
        <f t="shared" si="47"/>
        <v>106.3214337036864</v>
      </c>
      <c r="E119" s="110">
        <f t="shared" si="49"/>
        <v>35.436933853438674</v>
      </c>
      <c r="F119" s="110">
        <f t="shared" si="48"/>
        <v>27.058804877588187</v>
      </c>
      <c r="G119" s="110">
        <f t="shared" si="48"/>
        <v>5.2203823948510015</v>
      </c>
      <c r="H119" s="110">
        <f t="shared" si="48"/>
        <v>2.1264286740737281E-2</v>
      </c>
      <c r="I119" s="110">
        <f t="shared" si="48"/>
        <v>26.240129838069802</v>
      </c>
      <c r="J119" s="110">
        <f t="shared" si="48"/>
        <v>12.34391845299799</v>
      </c>
      <c r="K119" s="275">
        <f t="shared" si="8"/>
        <v>45259.893020833384</v>
      </c>
    </row>
    <row r="120" spans="2:11" x14ac:dyDescent="0.2">
      <c r="B120" s="108">
        <f t="shared" si="46"/>
        <v>3541890</v>
      </c>
      <c r="C120" s="5">
        <v>81</v>
      </c>
      <c r="D120" s="109">
        <f t="shared" si="47"/>
        <v>104.55862433287928</v>
      </c>
      <c r="E120" s="110">
        <f t="shared" si="49"/>
        <v>34.84938949014866</v>
      </c>
      <c r="F120" s="110">
        <f t="shared" si="48"/>
        <v>26.610169892717778</v>
      </c>
      <c r="G120" s="110">
        <f t="shared" si="48"/>
        <v>5.1338284547443722</v>
      </c>
      <c r="H120" s="110">
        <f t="shared" si="48"/>
        <v>2.0911724866575856E-2</v>
      </c>
      <c r="I120" s="110">
        <f t="shared" si="48"/>
        <v>25.805068485354603</v>
      </c>
      <c r="J120" s="110">
        <f t="shared" si="48"/>
        <v>12.139256285047283</v>
      </c>
      <c r="K120" s="275">
        <f t="shared" si="8"/>
        <v>45271.243715277829</v>
      </c>
    </row>
    <row r="121" spans="2:11" x14ac:dyDescent="0.2">
      <c r="B121" s="108">
        <f t="shared" si="46"/>
        <v>3574580</v>
      </c>
      <c r="C121" s="5">
        <v>82</v>
      </c>
      <c r="D121" s="109">
        <f t="shared" si="47"/>
        <v>102.82504234144014</v>
      </c>
      <c r="E121" s="110">
        <f t="shared" si="49"/>
        <v>34.271586612401997</v>
      </c>
      <c r="F121" s="110">
        <f t="shared" si="48"/>
        <v>26.168973275896516</v>
      </c>
      <c r="G121" s="110">
        <f t="shared" si="48"/>
        <v>5.0487095789647105</v>
      </c>
      <c r="H121" s="110">
        <f t="shared" si="48"/>
        <v>2.0565008468288029E-2</v>
      </c>
      <c r="I121" s="110">
        <f t="shared" si="48"/>
        <v>25.377220449867426</v>
      </c>
      <c r="J121" s="110">
        <f t="shared" si="48"/>
        <v>11.937987415841199</v>
      </c>
      <c r="K121" s="275">
        <f t="shared" si="8"/>
        <v>45282.594409722275</v>
      </c>
    </row>
    <row r="122" spans="2:11" x14ac:dyDescent="0.2">
      <c r="B122" s="108">
        <f t="shared" si="46"/>
        <v>3607270</v>
      </c>
      <c r="C122" s="5">
        <v>83</v>
      </c>
      <c r="D122" s="109">
        <f t="shared" si="47"/>
        <v>101.12020313941906</v>
      </c>
      <c r="E122" s="110">
        <f t="shared" si="49"/>
        <v>33.703363706368371</v>
      </c>
      <c r="F122" s="110">
        <f t="shared" si="48"/>
        <v>25.735091698982153</v>
      </c>
      <c r="G122" s="110">
        <f t="shared" si="48"/>
        <v>4.9650019741454754</v>
      </c>
      <c r="H122" s="110">
        <f t="shared" si="48"/>
        <v>2.0224040627883813E-2</v>
      </c>
      <c r="I122" s="110">
        <f t="shared" si="48"/>
        <v>24.956466134808622</v>
      </c>
      <c r="J122" s="110">
        <f t="shared" si="48"/>
        <v>11.740055584486553</v>
      </c>
      <c r="K122" s="275">
        <f t="shared" ref="K122:K185" si="50">K121+($D$22/24/60/60)*$B$22</f>
        <v>45293.94510416672</v>
      </c>
    </row>
    <row r="123" spans="2:11" x14ac:dyDescent="0.2">
      <c r="B123" s="108">
        <f t="shared" si="46"/>
        <v>3639960</v>
      </c>
      <c r="C123" s="5">
        <v>84</v>
      </c>
      <c r="D123" s="109">
        <f t="shared" si="47"/>
        <v>99.443630171367488</v>
      </c>
      <c r="E123" s="110">
        <f t="shared" si="49"/>
        <v>33.14456193611678</v>
      </c>
      <c r="F123" s="110">
        <f t="shared" si="48"/>
        <v>25.308403878613024</v>
      </c>
      <c r="G123" s="110">
        <f t="shared" si="48"/>
        <v>4.8826822414141438</v>
      </c>
      <c r="H123" s="110">
        <f t="shared" si="48"/>
        <v>1.98887260342735E-2</v>
      </c>
      <c r="I123" s="110">
        <f t="shared" si="48"/>
        <v>24.542687926293496</v>
      </c>
      <c r="J123" s="110">
        <f t="shared" si="48"/>
        <v>11.545405462895765</v>
      </c>
      <c r="K123" s="275">
        <f t="shared" si="50"/>
        <v>45305.295798611165</v>
      </c>
    </row>
    <row r="124" spans="2:11" x14ac:dyDescent="0.2">
      <c r="B124" s="108">
        <f t="shared" si="46"/>
        <v>3672650</v>
      </c>
      <c r="C124" s="5">
        <v>85</v>
      </c>
      <c r="D124" s="109">
        <f t="shared" si="47"/>
        <v>97.794854783126212</v>
      </c>
      <c r="E124" s="110">
        <f t="shared" si="49"/>
        <v>32.595025099215967</v>
      </c>
      <c r="F124" s="110">
        <f t="shared" si="48"/>
        <v>24.888790542305621</v>
      </c>
      <c r="G124" s="110">
        <f t="shared" si="48"/>
        <v>4.8017273698514966</v>
      </c>
      <c r="H124" s="110">
        <f t="shared" si="48"/>
        <v>1.9558970956625243E-2</v>
      </c>
      <c r="I124" s="110">
        <f t="shared" si="48"/>
        <v>24.135770160475548</v>
      </c>
      <c r="J124" s="110">
        <f t="shared" si="48"/>
        <v>11.353982640320952</v>
      </c>
      <c r="K124" s="275">
        <f t="shared" si="50"/>
        <v>45316.64649305561</v>
      </c>
    </row>
    <row r="125" spans="2:11" x14ac:dyDescent="0.2">
      <c r="B125" s="108">
        <f t="shared" si="46"/>
        <v>3705340</v>
      </c>
      <c r="C125" s="5">
        <v>86</v>
      </c>
      <c r="D125" s="109">
        <f t="shared" si="47"/>
        <v>96.173416090821974</v>
      </c>
      <c r="E125" s="110">
        <f t="shared" si="49"/>
        <v>32.05459958307096</v>
      </c>
      <c r="F125" s="110">
        <f t="shared" si="48"/>
        <v>24.476134395114194</v>
      </c>
      <c r="G125" s="110">
        <f t="shared" si="48"/>
        <v>4.7221147300593591</v>
      </c>
      <c r="H125" s="110">
        <f t="shared" si="48"/>
        <v>1.9234683218164395E-2</v>
      </c>
      <c r="I125" s="110">
        <f t="shared" si="48"/>
        <v>23.735599091214862</v>
      </c>
      <c r="J125" s="110">
        <f t="shared" si="48"/>
        <v>11.16573360814443</v>
      </c>
      <c r="K125" s="275">
        <f t="shared" si="50"/>
        <v>45327.997187500056</v>
      </c>
    </row>
    <row r="126" spans="2:11" x14ac:dyDescent="0.2">
      <c r="B126" s="108">
        <f t="shared" si="46"/>
        <v>3738030</v>
      </c>
      <c r="C126" s="5">
        <v>87</v>
      </c>
      <c r="D126" s="109">
        <f t="shared" si="47"/>
        <v>94.578860852036144</v>
      </c>
      <c r="E126" s="110">
        <f t="shared" si="49"/>
        <v>31.523134321983644</v>
      </c>
      <c r="F126" s="110">
        <f t="shared" si="48"/>
        <v>24.0703200868432</v>
      </c>
      <c r="G126" s="110">
        <f t="shared" si="48"/>
        <v>4.6438220678349742</v>
      </c>
      <c r="H126" s="110">
        <f t="shared" si="48"/>
        <v>1.8915772170407231E-2</v>
      </c>
      <c r="I126" s="110">
        <f t="shared" si="48"/>
        <v>23.342062858282521</v>
      </c>
      <c r="J126" s="110">
        <f t="shared" si="48"/>
        <v>10.980605744921396</v>
      </c>
      <c r="K126" s="275">
        <f t="shared" si="50"/>
        <v>45339.347881944501</v>
      </c>
    </row>
    <row r="127" spans="2:11" x14ac:dyDescent="0.2">
      <c r="B127" s="108">
        <f t="shared" si="46"/>
        <v>3770720</v>
      </c>
      <c r="C127" s="5">
        <v>88</v>
      </c>
      <c r="D127" s="109">
        <f t="shared" si="47"/>
        <v>93.010743339109382</v>
      </c>
      <c r="E127" s="110">
        <f t="shared" si="49"/>
        <v>31.000480754925157</v>
      </c>
      <c r="F127" s="110">
        <f t="shared" si="48"/>
        <v>23.671234179803339</v>
      </c>
      <c r="G127" s="110">
        <f t="shared" si="48"/>
        <v>4.5668274979502703</v>
      </c>
      <c r="H127" s="110">
        <f t="shared" si="48"/>
        <v>1.8602148667821877E-2</v>
      </c>
      <c r="I127" s="110">
        <f t="shared" si="48"/>
        <v>22.955051456092196</v>
      </c>
      <c r="J127" s="110">
        <f t="shared" si="48"/>
        <v>10.798547301670599</v>
      </c>
      <c r="K127" s="275">
        <f t="shared" si="50"/>
        <v>45350.698576388946</v>
      </c>
    </row>
    <row r="128" spans="2:11" x14ac:dyDescent="0.2">
      <c r="B128" s="108">
        <f t="shared" si="46"/>
        <v>3803410</v>
      </c>
      <c r="C128" s="5">
        <v>89</v>
      </c>
      <c r="D128" s="109">
        <f t="shared" si="47"/>
        <v>91.468625214546947</v>
      </c>
      <c r="E128" s="110">
        <f t="shared" si="49"/>
        <v>30.486492784008497</v>
      </c>
      <c r="F128" s="110">
        <f t="shared" si="48"/>
        <v>23.2787651171022</v>
      </c>
      <c r="G128" s="110">
        <f t="shared" si="48"/>
        <v>4.4911094980342545</v>
      </c>
      <c r="H128" s="110">
        <f t="shared" si="48"/>
        <v>1.8293725042909392E-2</v>
      </c>
      <c r="I128" s="110">
        <f t="shared" si="48"/>
        <v>22.574456702950187</v>
      </c>
      <c r="J128" s="110">
        <f t="shared" si="48"/>
        <v>10.6195073874089</v>
      </c>
      <c r="K128" s="275">
        <f t="shared" si="50"/>
        <v>45362.049270833391</v>
      </c>
    </row>
    <row r="129" spans="2:11" x14ac:dyDescent="0.2">
      <c r="B129" s="108">
        <f t="shared" si="46"/>
        <v>3836100</v>
      </c>
      <c r="C129" s="5">
        <v>90</v>
      </c>
      <c r="D129" s="109">
        <f t="shared" si="47"/>
        <v>89.952075408489762</v>
      </c>
      <c r="E129" s="110">
        <f t="shared" si="49"/>
        <v>29.981026733649635</v>
      </c>
      <c r="F129" s="110">
        <f t="shared" si="48"/>
        <v>22.892803191460644</v>
      </c>
      <c r="G129" s="110">
        <f t="shared" si="48"/>
        <v>4.4166469025568471</v>
      </c>
      <c r="H129" s="110">
        <f t="shared" si="48"/>
        <v>1.7990415081697953E-2</v>
      </c>
      <c r="I129" s="110">
        <f t="shared" si="48"/>
        <v>22.200172210815271</v>
      </c>
      <c r="J129" s="110">
        <f t="shared" si="48"/>
        <v>10.443435954925661</v>
      </c>
      <c r="K129" s="275">
        <f t="shared" si="50"/>
        <v>45373.399965277837</v>
      </c>
    </row>
    <row r="130" spans="2:11" x14ac:dyDescent="0.2">
      <c r="B130" s="108">
        <f t="shared" si="46"/>
        <v>3868790</v>
      </c>
      <c r="C130" s="5">
        <v>91</v>
      </c>
      <c r="D130" s="109">
        <f t="shared" si="47"/>
        <v>88.460669998217</v>
      </c>
      <c r="E130" s="110">
        <f t="shared" si="49"/>
        <v>29.483941310405726</v>
      </c>
      <c r="F130" s="110">
        <f t="shared" si="48"/>
        <v>22.513240514546226</v>
      </c>
      <c r="G130" s="110">
        <f t="shared" si="48"/>
        <v>4.3434188969124543</v>
      </c>
      <c r="H130" s="110">
        <f t="shared" si="48"/>
        <v>1.7692133999643402E-2</v>
      </c>
      <c r="I130" s="110">
        <f t="shared" si="48"/>
        <v>21.832093355559955</v>
      </c>
      <c r="J130" s="110">
        <f t="shared" si="48"/>
        <v>10.270283786792993</v>
      </c>
      <c r="K130" s="275">
        <f t="shared" si="50"/>
        <v>45384.750659722282</v>
      </c>
    </row>
    <row r="131" spans="2:11" x14ac:dyDescent="0.2">
      <c r="B131" s="108">
        <f t="shared" si="46"/>
        <v>3901480</v>
      </c>
      <c r="C131" s="5">
        <v>92</v>
      </c>
      <c r="D131" s="109">
        <f t="shared" si="47"/>
        <v>86.993992089646554</v>
      </c>
      <c r="E131" s="110">
        <f t="shared" si="49"/>
        <v>28.995097563479195</v>
      </c>
      <c r="F131" s="110">
        <f t="shared" si="48"/>
        <v>22.139970986815047</v>
      </c>
      <c r="G131" s="110">
        <f t="shared" si="48"/>
        <v>4.2714050116016455</v>
      </c>
      <c r="H131" s="110">
        <f t="shared" si="48"/>
        <v>1.7398798417929313E-2</v>
      </c>
      <c r="I131" s="110">
        <f t="shared" si="48"/>
        <v>21.470117247724769</v>
      </c>
      <c r="J131" s="110">
        <f t="shared" si="48"/>
        <v>10.100002481607964</v>
      </c>
      <c r="K131" s="275">
        <f t="shared" si="50"/>
        <v>45396.101354166727</v>
      </c>
    </row>
    <row r="132" spans="2:11" x14ac:dyDescent="0.2">
      <c r="B132" s="108">
        <f t="shared" si="46"/>
        <v>3934170</v>
      </c>
      <c r="C132" s="5">
        <v>93</v>
      </c>
      <c r="D132" s="109">
        <f t="shared" si="47"/>
        <v>85.551631700800215</v>
      </c>
      <c r="E132" s="110">
        <f t="shared" si="49"/>
        <v>28.514358845876711</v>
      </c>
      <c r="F132" s="110">
        <f t="shared" si="48"/>
        <v>21.772890267853654</v>
      </c>
      <c r="G132" s="110">
        <f t="shared" si="48"/>
        <v>4.2005851165092905</v>
      </c>
      <c r="H132" s="110">
        <f t="shared" si="48"/>
        <v>1.7110326340160045E-2</v>
      </c>
      <c r="I132" s="110">
        <f t="shared" si="48"/>
        <v>21.114142703757491</v>
      </c>
      <c r="J132" s="110">
        <f t="shared" si="48"/>
        <v>9.9325444404629053</v>
      </c>
      <c r="K132" s="275">
        <f t="shared" si="50"/>
        <v>45407.452048611172</v>
      </c>
    </row>
    <row r="133" spans="2:11" x14ac:dyDescent="0.2">
      <c r="B133" s="108">
        <f t="shared" si="46"/>
        <v>3966860</v>
      </c>
      <c r="C133" s="5">
        <v>94</v>
      </c>
      <c r="D133" s="109">
        <f t="shared" si="47"/>
        <v>84.133185647200946</v>
      </c>
      <c r="E133" s="110">
        <f t="shared" si="49"/>
        <v>28.041590776212075</v>
      </c>
      <c r="F133" s="110">
        <f t="shared" si="48"/>
        <v>21.41189574721264</v>
      </c>
      <c r="G133" s="110">
        <f t="shared" si="48"/>
        <v>4.1309394152775667</v>
      </c>
      <c r="H133" s="110">
        <f t="shared" si="48"/>
        <v>1.682663712944019E-2</v>
      </c>
      <c r="I133" s="110">
        <f t="shared" si="48"/>
        <v>20.764070217729191</v>
      </c>
      <c r="J133" s="110">
        <f t="shared" si="48"/>
        <v>9.7678628536400289</v>
      </c>
      <c r="K133" s="275">
        <f t="shared" si="50"/>
        <v>45418.802743055618</v>
      </c>
    </row>
    <row r="134" spans="2:11" x14ac:dyDescent="0.2">
      <c r="B134" s="108">
        <f t="shared" si="46"/>
        <v>3999550</v>
      </c>
      <c r="C134" s="5">
        <v>95</v>
      </c>
      <c r="D134" s="109">
        <f t="shared" si="47"/>
        <v>82.738257429170346</v>
      </c>
      <c r="E134" s="110">
        <f t="shared" si="49"/>
        <v>27.576661201142475</v>
      </c>
      <c r="F134" s="110">
        <f t="shared" si="48"/>
        <v>21.056886515723853</v>
      </c>
      <c r="G134" s="110">
        <f t="shared" si="48"/>
        <v>4.0624484397722638</v>
      </c>
      <c r="H134" s="110">
        <f t="shared" si="48"/>
        <v>1.6547651485834071E-2</v>
      </c>
      <c r="I134" s="110">
        <f t="shared" si="48"/>
        <v>20.419801933519242</v>
      </c>
      <c r="J134" s="110">
        <f t="shared" si="48"/>
        <v>9.6059116875266763</v>
      </c>
      <c r="K134" s="275">
        <f t="shared" si="50"/>
        <v>45430.153437500063</v>
      </c>
    </row>
    <row r="135" spans="2:11" x14ac:dyDescent="0.2">
      <c r="B135" s="108">
        <f t="shared" si="46"/>
        <v>4032240</v>
      </c>
      <c r="C135" s="5">
        <v>96</v>
      </c>
      <c r="D135" s="109">
        <f t="shared" si="47"/>
        <v>81.366457120994696</v>
      </c>
      <c r="E135" s="110">
        <f t="shared" si="49"/>
        <v>27.11944015842753</v>
      </c>
      <c r="F135" s="110">
        <f t="shared" si="48"/>
        <v>20.707763337293152</v>
      </c>
      <c r="G135" s="110">
        <f t="shared" si="48"/>
        <v>3.9950930446408393</v>
      </c>
      <c r="H135" s="110">
        <f t="shared" si="48"/>
        <v>1.6273291424198939E-2</v>
      </c>
      <c r="I135" s="110">
        <f t="shared" si="48"/>
        <v>20.08124161746149</v>
      </c>
      <c r="J135" s="110">
        <f t="shared" si="48"/>
        <v>9.4466456717474845</v>
      </c>
      <c r="K135" s="275">
        <f t="shared" si="50"/>
        <v>45441.504131944508</v>
      </c>
    </row>
    <row r="136" spans="2:11" x14ac:dyDescent="0.2">
      <c r="B136" s="108">
        <f t="shared" si="46"/>
        <v>4064930</v>
      </c>
      <c r="C136" s="5">
        <v>97</v>
      </c>
      <c r="D136" s="109">
        <f t="shared" si="47"/>
        <v>80.017401261928597</v>
      </c>
      <c r="E136" s="110">
        <f t="shared" si="49"/>
        <v>26.669799840600799</v>
      </c>
      <c r="F136" s="110">
        <f t="shared" si="48"/>
        <v>20.36442862116083</v>
      </c>
      <c r="G136" s="110">
        <f t="shared" si="48"/>
        <v>3.9288544019606939</v>
      </c>
      <c r="H136" s="110">
        <f t="shared" si="48"/>
        <v>1.600348025238572E-2</v>
      </c>
      <c r="I136" s="110">
        <f t="shared" si="48"/>
        <v>19.748294631443976</v>
      </c>
      <c r="J136" s="110">
        <f t="shared" si="48"/>
        <v>9.2900202865099093</v>
      </c>
      <c r="K136" s="275">
        <f t="shared" si="50"/>
        <v>45452.854826388953</v>
      </c>
    </row>
    <row r="137" spans="2:11" x14ac:dyDescent="0.2">
      <c r="B137" s="108">
        <f t="shared" si="46"/>
        <v>4097620</v>
      </c>
      <c r="C137" s="5">
        <v>98</v>
      </c>
      <c r="D137" s="109">
        <f t="shared" si="47"/>
        <v>78.690712749005812</v>
      </c>
      <c r="E137" s="110">
        <f t="shared" si="49"/>
        <v>26.227614559243637</v>
      </c>
      <c r="F137" s="110">
        <f t="shared" si="48"/>
        <v>20.026786394621979</v>
      </c>
      <c r="G137" s="110">
        <f t="shared" si="48"/>
        <v>3.8637139959761853</v>
      </c>
      <c r="H137" s="110">
        <f t="shared" si="48"/>
        <v>1.5738142549801163E-2</v>
      </c>
      <c r="I137" s="110">
        <f t="shared" si="48"/>
        <v>19.420867906454635</v>
      </c>
      <c r="J137" s="110">
        <f t="shared" si="48"/>
        <v>9.1359917501595742</v>
      </c>
      <c r="K137" s="275">
        <f t="shared" si="50"/>
        <v>45464.205520833399</v>
      </c>
    </row>
    <row r="138" spans="2:11" x14ac:dyDescent="0.2">
      <c r="B138" s="108">
        <f t="shared" si="46"/>
        <v>4130310</v>
      </c>
      <c r="C138" s="5">
        <v>99</v>
      </c>
      <c r="D138" s="109">
        <f t="shared" si="47"/>
        <v>77.386020731627298</v>
      </c>
      <c r="E138" s="110">
        <f t="shared" si="49"/>
        <v>25.792760709851379</v>
      </c>
      <c r="F138" s="110">
        <f t="shared" si="48"/>
        <v>19.694742276199147</v>
      </c>
      <c r="G138" s="110">
        <f t="shared" si="48"/>
        <v>3.7996536179229001</v>
      </c>
      <c r="H138" s="110">
        <f t="shared" si="48"/>
        <v>1.547720414632546E-2</v>
      </c>
      <c r="I138" s="110">
        <f t="shared" si="48"/>
        <v>19.098869916565615</v>
      </c>
      <c r="J138" s="110">
        <f t="shared" si="48"/>
        <v>8.9845170069419282</v>
      </c>
      <c r="K138" s="275">
        <f t="shared" si="50"/>
        <v>45475.556215277844</v>
      </c>
    </row>
    <row r="139" spans="2:11" x14ac:dyDescent="0.2">
      <c r="B139" s="108">
        <f t="shared" si="46"/>
        <v>4163000</v>
      </c>
      <c r="C139" s="5">
        <v>100</v>
      </c>
      <c r="D139" s="109">
        <f t="shared" si="47"/>
        <v>76.10296050789691</v>
      </c>
      <c r="E139" s="110">
        <f t="shared" si="49"/>
        <v>25.36511673728204</v>
      </c>
      <c r="F139" s="110">
        <f t="shared" si="48"/>
        <v>19.368203449259763</v>
      </c>
      <c r="G139" s="110">
        <f t="shared" si="48"/>
        <v>3.7366553609377382</v>
      </c>
      <c r="H139" s="110">
        <f t="shared" si="48"/>
        <v>1.5220592101579382E-2</v>
      </c>
      <c r="I139" s="110">
        <f t="shared" si="48"/>
        <v>18.782210653348958</v>
      </c>
      <c r="J139" s="110">
        <f t="shared" si="48"/>
        <v>8.8355537149668315</v>
      </c>
      <c r="K139" s="275">
        <f t="shared" si="50"/>
        <v>45486.906909722289</v>
      </c>
    </row>
    <row r="140" spans="2:11" x14ac:dyDescent="0.2">
      <c r="B140" s="108">
        <f t="shared" si="46"/>
        <v>4195690</v>
      </c>
      <c r="C140" s="5">
        <v>101</v>
      </c>
      <c r="D140" s="109">
        <f t="shared" si="47"/>
        <v>74.841173422675979</v>
      </c>
      <c r="E140" s="110">
        <f t="shared" si="49"/>
        <v>24.944563101777902</v>
      </c>
      <c r="F140" s="110">
        <f t="shared" si="48"/>
        <v>19.047078636071038</v>
      </c>
      <c r="G140" s="110">
        <f t="shared" si="48"/>
        <v>3.6747016150533902</v>
      </c>
      <c r="H140" s="110">
        <f t="shared" si="48"/>
        <v>1.4968234684535196E-2</v>
      </c>
      <c r="I140" s="110">
        <f t="shared" si="48"/>
        <v>18.470801600716431</v>
      </c>
      <c r="J140" s="110">
        <f t="shared" si="48"/>
        <v>8.6890602343726808</v>
      </c>
      <c r="K140" s="275">
        <f t="shared" si="50"/>
        <v>45498.257604166734</v>
      </c>
    </row>
    <row r="141" spans="2:11" x14ac:dyDescent="0.2">
      <c r="B141" s="108">
        <f t="shared" si="46"/>
        <v>4228380</v>
      </c>
      <c r="C141" s="5">
        <v>102</v>
      </c>
      <c r="D141" s="109">
        <f t="shared" si="47"/>
        <v>73.600306767328007</v>
      </c>
      <c r="E141" s="110">
        <f t="shared" si="49"/>
        <v>24.530982245550423</v>
      </c>
      <c r="F141" s="110">
        <f t="shared" si="48"/>
        <v>18.731278072284979</v>
      </c>
      <c r="G141" s="110">
        <f t="shared" si="48"/>
        <v>3.6137750622758049</v>
      </c>
      <c r="H141" s="110">
        <f t="shared" si="48"/>
        <v>1.4720061353465602E-2</v>
      </c>
      <c r="I141" s="110">
        <f t="shared" si="48"/>
        <v>18.16455571017655</v>
      </c>
      <c r="J141" s="110">
        <f t="shared" si="48"/>
        <v>8.5449956156867817</v>
      </c>
      <c r="K141" s="275">
        <f t="shared" si="50"/>
        <v>45509.60829861118</v>
      </c>
    </row>
    <row r="142" spans="2:11" x14ac:dyDescent="0.2">
      <c r="B142" s="108">
        <f t="shared" si="46"/>
        <v>4261070</v>
      </c>
      <c r="C142" s="5">
        <v>103</v>
      </c>
      <c r="D142" s="109">
        <f t="shared" si="47"/>
        <v>72.380013681125703</v>
      </c>
      <c r="E142" s="110">
        <f t="shared" si="49"/>
        <v>24.124258559919195</v>
      </c>
      <c r="F142" s="110">
        <f t="shared" si="48"/>
        <v>18.420713481846491</v>
      </c>
      <c r="G142" s="110">
        <f t="shared" si="48"/>
        <v>3.5538586717432721</v>
      </c>
      <c r="H142" s="110">
        <f t="shared" si="48"/>
        <v>1.4476002736225142E-2</v>
      </c>
      <c r="I142" s="110">
        <f t="shared" si="48"/>
        <v>17.863387376501823</v>
      </c>
      <c r="J142" s="110">
        <f t="shared" si="48"/>
        <v>8.4033195883786931</v>
      </c>
      <c r="K142" s="275">
        <f t="shared" si="50"/>
        <v>45520.958993055625</v>
      </c>
    </row>
    <row r="143" spans="2:11" x14ac:dyDescent="0.2">
      <c r="B143" s="108">
        <f t="shared" si="46"/>
        <v>4293760</v>
      </c>
      <c r="C143" s="5">
        <v>104</v>
      </c>
      <c r="D143" s="109">
        <f t="shared" si="47"/>
        <v>71.179953054292639</v>
      </c>
      <c r="E143" s="110">
        <f t="shared" si="49"/>
        <v>23.724278352995736</v>
      </c>
      <c r="F143" s="110">
        <f t="shared" si="48"/>
        <v>18.115298052317478</v>
      </c>
      <c r="G143" s="110">
        <f t="shared" si="48"/>
        <v>3.4949356949657684</v>
      </c>
      <c r="H143" s="110">
        <f t="shared" si="48"/>
        <v>1.4235990610858529E-2</v>
      </c>
      <c r="I143" s="110">
        <f t="shared" si="48"/>
        <v>17.567212413799421</v>
      </c>
      <c r="J143" s="110">
        <f t="shared" si="48"/>
        <v>8.2639925496033744</v>
      </c>
      <c r="K143" s="275">
        <f t="shared" si="50"/>
        <v>45532.30968750007</v>
      </c>
    </row>
    <row r="144" spans="2:11" x14ac:dyDescent="0.2">
      <c r="B144" s="108">
        <f t="shared" si="46"/>
        <v>4326450</v>
      </c>
      <c r="C144" s="5">
        <v>105</v>
      </c>
      <c r="D144" s="109">
        <f t="shared" si="47"/>
        <v>69.999789432652463</v>
      </c>
      <c r="E144" s="110">
        <f t="shared" si="49"/>
        <v>23.330929817903066</v>
      </c>
      <c r="F144" s="110">
        <f t="shared" si="48"/>
        <v>17.814946410610052</v>
      </c>
      <c r="G144" s="110">
        <f t="shared" si="48"/>
        <v>3.4369896611432358</v>
      </c>
      <c r="H144" s="110">
        <f t="shared" si="48"/>
        <v>1.3999957886530493E-2</v>
      </c>
      <c r="I144" s="110">
        <f t="shared" si="48"/>
        <v>17.275948031978626</v>
      </c>
      <c r="J144" s="110">
        <f t="shared" si="48"/>
        <v>8.1269755531309507</v>
      </c>
      <c r="K144" s="275">
        <f t="shared" si="50"/>
        <v>45543.660381944515</v>
      </c>
    </row>
    <row r="145" spans="2:11" x14ac:dyDescent="0.2">
      <c r="B145" s="108">
        <f t="shared" si="46"/>
        <v>4359140</v>
      </c>
      <c r="C145" s="5">
        <v>106</v>
      </c>
      <c r="D145" s="109">
        <f t="shared" si="47"/>
        <v>68.839192923859088</v>
      </c>
      <c r="E145" s="110">
        <f t="shared" si="49"/>
        <v>22.944103001522233</v>
      </c>
      <c r="F145" s="110">
        <f t="shared" si="48"/>
        <v>17.519574599122137</v>
      </c>
      <c r="G145" s="110">
        <f t="shared" si="48"/>
        <v>3.3800043725614812</v>
      </c>
      <c r="H145" s="110">
        <f t="shared" si="48"/>
        <v>1.3767838584771819E-2</v>
      </c>
      <c r="I145" s="110">
        <f t="shared" si="48"/>
        <v>16.989512813608421</v>
      </c>
      <c r="J145" s="110">
        <f t="shared" si="48"/>
        <v>7.99223029846004</v>
      </c>
      <c r="K145" s="275">
        <f t="shared" si="50"/>
        <v>45555.011076388961</v>
      </c>
    </row>
    <row r="146" spans="2:11" x14ac:dyDescent="0.2">
      <c r="B146" s="108">
        <f t="shared" si="46"/>
        <v>4391830</v>
      </c>
      <c r="C146" s="5">
        <v>107</v>
      </c>
      <c r="D146" s="109">
        <f t="shared" si="47"/>
        <v>67.697839105181501</v>
      </c>
      <c r="E146" s="110">
        <f t="shared" si="49"/>
        <v>22.563689773756995</v>
      </c>
      <c r="F146" s="110">
        <f t="shared" si="48"/>
        <v>17.229100052268691</v>
      </c>
      <c r="G146" s="110">
        <f t="shared" si="48"/>
        <v>3.3239639000644114</v>
      </c>
      <c r="H146" s="110">
        <f t="shared" si="48"/>
        <v>1.35395678210363E-2</v>
      </c>
      <c r="I146" s="110">
        <f t="shared" si="48"/>
        <v>16.707826691158793</v>
      </c>
      <c r="J146" s="110">
        <f t="shared" si="48"/>
        <v>7.8597191201115715</v>
      </c>
      <c r="K146" s="275">
        <f t="shared" si="50"/>
        <v>45566.361770833406</v>
      </c>
    </row>
    <row r="147" spans="2:11" x14ac:dyDescent="0.2">
      <c r="B147" s="108">
        <f t="shared" si="46"/>
        <v>4424520</v>
      </c>
      <c r="C147" s="5">
        <v>108</v>
      </c>
      <c r="D147" s="109">
        <f t="shared" si="47"/>
        <v>66.575408932817595</v>
      </c>
      <c r="E147" s="110">
        <f t="shared" si="49"/>
        <v>22.189583797308103</v>
      </c>
      <c r="F147" s="110">
        <f t="shared" si="48"/>
        <v>16.94344157340208</v>
      </c>
      <c r="G147" s="110">
        <f t="shared" si="48"/>
        <v>3.2688525786013436</v>
      </c>
      <c r="H147" s="110">
        <f t="shared" si="48"/>
        <v>1.331508178656352E-2</v>
      </c>
      <c r="I147" s="110">
        <f t="shared" si="48"/>
        <v>16.430810924619383</v>
      </c>
      <c r="J147" s="110">
        <f t="shared" si="48"/>
        <v>7.7294049771001223</v>
      </c>
      <c r="K147" s="275">
        <f t="shared" si="50"/>
        <v>45577.712465277851</v>
      </c>
    </row>
    <row r="148" spans="2:11" x14ac:dyDescent="0.2">
      <c r="B148" s="108">
        <f t="shared" si="46"/>
        <v>4457210</v>
      </c>
      <c r="C148" s="5">
        <v>109</v>
      </c>
      <c r="D148" s="109">
        <f t="shared" si="47"/>
        <v>65.471588652711475</v>
      </c>
      <c r="E148" s="110">
        <f t="shared" si="49"/>
        <v>21.821680497948734</v>
      </c>
      <c r="F148" s="110">
        <f t="shared" si="48"/>
        <v>16.662519312115069</v>
      </c>
      <c r="G148" s="110">
        <f t="shared" si="48"/>
        <v>3.2146550028481333</v>
      </c>
      <c r="H148" s="110">
        <f t="shared" si="48"/>
        <v>1.3094317730542296E-2</v>
      </c>
      <c r="I148" s="110">
        <f t="shared" si="48"/>
        <v>16.158388079489193</v>
      </c>
      <c r="J148" s="110">
        <f t="shared" si="48"/>
        <v>7.6012514425798017</v>
      </c>
      <c r="K148" s="275">
        <f t="shared" si="50"/>
        <v>45589.063159722296</v>
      </c>
    </row>
    <row r="149" spans="2:11" x14ac:dyDescent="0.2">
      <c r="B149" s="108">
        <f t="shared" si="46"/>
        <v>4489900</v>
      </c>
      <c r="C149" s="5">
        <v>110</v>
      </c>
      <c r="D149" s="109">
        <f t="shared" si="47"/>
        <v>64.386069712849519</v>
      </c>
      <c r="E149" s="110">
        <f t="shared" si="49"/>
        <v>21.459877035292745</v>
      </c>
      <c r="F149" s="110">
        <f t="shared" si="48"/>
        <v>16.386254741920204</v>
      </c>
      <c r="G149" s="110">
        <f t="shared" si="48"/>
        <v>3.1613560229009114</v>
      </c>
      <c r="H149" s="110">
        <f t="shared" si="48"/>
        <v>1.2877213942569904E-2</v>
      </c>
      <c r="I149" s="110">
        <f t="shared" si="48"/>
        <v>15.890482005131261</v>
      </c>
      <c r="J149" s="110">
        <f t="shared" si="48"/>
        <v>7.4752226936618289</v>
      </c>
      <c r="K149" s="275">
        <f t="shared" si="50"/>
        <v>45600.413854166742</v>
      </c>
    </row>
    <row r="150" spans="2:11" x14ac:dyDescent="0.2">
      <c r="B150" s="108">
        <f t="shared" si="46"/>
        <v>4522590</v>
      </c>
      <c r="C150" s="5">
        <v>111</v>
      </c>
      <c r="D150" s="109">
        <f t="shared" si="47"/>
        <v>63.318548677010469</v>
      </c>
      <c r="E150" s="110">
        <f t="shared" si="49"/>
        <v>21.104072274047589</v>
      </c>
      <c r="F150" s="110">
        <f t="shared" si="48"/>
        <v>16.114570638299163</v>
      </c>
      <c r="G150" s="110">
        <f t="shared" si="48"/>
        <v>3.1089407400412137</v>
      </c>
      <c r="H150" s="110">
        <f t="shared" si="48"/>
        <v>1.2663709735402094E-2</v>
      </c>
      <c r="I150" s="110">
        <f t="shared" si="48"/>
        <v>15.627017813486184</v>
      </c>
      <c r="J150" s="110">
        <f t="shared" si="48"/>
        <v>7.351283501400915</v>
      </c>
      <c r="K150" s="275">
        <f t="shared" si="50"/>
        <v>45611.764548611187</v>
      </c>
    </row>
    <row r="151" spans="2:11" x14ac:dyDescent="0.2">
      <c r="B151" s="108">
        <f t="shared" si="46"/>
        <v>4555280</v>
      </c>
      <c r="C151" s="5">
        <v>112</v>
      </c>
      <c r="D151" s="109">
        <f t="shared" si="47"/>
        <v>62.268727139945632</v>
      </c>
      <c r="E151" s="110">
        <f t="shared" si="49"/>
        <v>20.754166755743878</v>
      </c>
      <c r="F151" s="110">
        <f t="shared" si="48"/>
        <v>15.847391057116164</v>
      </c>
      <c r="G151" s="110">
        <f t="shared" si="48"/>
        <v>3.0573945025713303</v>
      </c>
      <c r="H151" s="110">
        <f t="shared" si="48"/>
        <v>1.2453745427989127E-2</v>
      </c>
      <c r="I151" s="110">
        <f t="shared" si="48"/>
        <v>15.367921858138581</v>
      </c>
      <c r="J151" s="110">
        <f t="shared" si="48"/>
        <v>7.2293992209476876</v>
      </c>
      <c r="K151" s="275">
        <f t="shared" si="50"/>
        <v>45623.115243055632</v>
      </c>
    </row>
    <row r="152" spans="2:11" x14ac:dyDescent="0.2">
      <c r="B152" s="108">
        <f t="shared" si="46"/>
        <v>4587970</v>
      </c>
      <c r="C152" s="5">
        <v>113</v>
      </c>
      <c r="D152" s="109">
        <f t="shared" si="47"/>
        <v>61.23631164396533</v>
      </c>
      <c r="E152" s="110">
        <f t="shared" si="49"/>
        <v>20.410062670933645</v>
      </c>
      <c r="F152" s="110">
        <f t="shared" si="48"/>
        <v>15.584641313389177</v>
      </c>
      <c r="G152" s="110">
        <f t="shared" si="48"/>
        <v>3.0067029017186977</v>
      </c>
      <c r="H152" s="110">
        <f t="shared" si="48"/>
        <v>1.2247262328793066E-2</v>
      </c>
      <c r="I152" s="110">
        <f t="shared" si="48"/>
        <v>15.113121713730642</v>
      </c>
      <c r="J152" s="110">
        <f t="shared" si="48"/>
        <v>7.1095357818643743</v>
      </c>
      <c r="K152" s="275">
        <f t="shared" si="50"/>
        <v>45634.465937500077</v>
      </c>
    </row>
    <row r="153" spans="2:11" x14ac:dyDescent="0.2">
      <c r="B153" s="108">
        <f t="shared" si="46"/>
        <v>4620660</v>
      </c>
      <c r="C153" s="5">
        <v>114</v>
      </c>
      <c r="D153" s="109">
        <f t="shared" si="47"/>
        <v>60.221013596908385</v>
      </c>
      <c r="E153" s="110">
        <f t="shared" si="49"/>
        <v>20.071663831849563</v>
      </c>
      <c r="F153" s="110">
        <f t="shared" si="48"/>
        <v>15.326247960413184</v>
      </c>
      <c r="G153" s="110">
        <f t="shared" si="48"/>
        <v>2.9568517676082018</v>
      </c>
      <c r="H153" s="110">
        <f t="shared" si="48"/>
        <v>1.2044202719381678E-2</v>
      </c>
      <c r="I153" s="110">
        <f t="shared" si="48"/>
        <v>14.86254615571699</v>
      </c>
      <c r="J153" s="110">
        <f t="shared" si="48"/>
        <v>6.9916596786010636</v>
      </c>
      <c r="K153" s="275">
        <f t="shared" si="50"/>
        <v>45645.816631944523</v>
      </c>
    </row>
    <row r="154" spans="2:11" x14ac:dyDescent="0.2">
      <c r="B154" s="108">
        <f t="shared" si="46"/>
        <v>4653350</v>
      </c>
      <c r="C154" s="5">
        <v>115</v>
      </c>
      <c r="D154" s="109">
        <f t="shared" si="47"/>
        <v>59.222549191471643</v>
      </c>
      <c r="E154" s="110">
        <f t="shared" si="49"/>
        <v>19.738875645517499</v>
      </c>
      <c r="F154" s="110">
        <f t="shared" si="48"/>
        <v>15.072138769229534</v>
      </c>
      <c r="G154" s="110">
        <f t="shared" si="48"/>
        <v>2.9078271653012577</v>
      </c>
      <c r="H154" s="110">
        <f t="shared" si="48"/>
        <v>1.1844509838294329E-2</v>
      </c>
      <c r="I154" s="110">
        <f t="shared" si="48"/>
        <v>14.616125140455202</v>
      </c>
      <c r="J154" s="110">
        <f t="shared" si="48"/>
        <v>6.8757379611298575</v>
      </c>
      <c r="K154" s="275">
        <f t="shared" si="50"/>
        <v>45657.167326388968</v>
      </c>
    </row>
    <row r="155" spans="2:11" x14ac:dyDescent="0.2">
      <c r="B155" s="108">
        <f t="shared" si="46"/>
        <v>4686040</v>
      </c>
      <c r="C155" s="5">
        <v>116</v>
      </c>
      <c r="D155" s="109">
        <f t="shared" si="47"/>
        <v>58.240639325877041</v>
      </c>
      <c r="E155" s="110">
        <f t="shared" si="49"/>
        <v>19.411605087314818</v>
      </c>
      <c r="F155" s="110">
        <f t="shared" ref="F155:J205" si="51">$D155*F$37</f>
        <v>14.822242708435708</v>
      </c>
      <c r="G155" s="110">
        <f t="shared" si="51"/>
        <v>2.8596153909005624</v>
      </c>
      <c r="H155" s="110">
        <f t="shared" si="51"/>
        <v>1.1648127865175408E-2</v>
      </c>
      <c r="I155" s="110">
        <f t="shared" si="51"/>
        <v>14.373789785626453</v>
      </c>
      <c r="J155" s="110">
        <f t="shared" si="51"/>
        <v>6.7617382257343239</v>
      </c>
      <c r="K155" s="275">
        <f t="shared" si="50"/>
        <v>45668.518020833413</v>
      </c>
    </row>
    <row r="156" spans="2:11" x14ac:dyDescent="0.2">
      <c r="B156" s="108">
        <f t="shared" si="46"/>
        <v>4718730</v>
      </c>
      <c r="C156" s="5">
        <v>117</v>
      </c>
      <c r="D156" s="109">
        <f t="shared" si="47"/>
        <v>57.275009525853996</v>
      </c>
      <c r="E156" s="110">
        <f t="shared" si="49"/>
        <v>19.089760674967135</v>
      </c>
      <c r="F156" s="110">
        <f t="shared" si="51"/>
        <v>14.576489924329842</v>
      </c>
      <c r="G156" s="110">
        <f t="shared" si="51"/>
        <v>2.8122029677194309</v>
      </c>
      <c r="H156" s="110">
        <f t="shared" si="51"/>
        <v>1.1455001905170801E-2</v>
      </c>
      <c r="I156" s="110">
        <f t="shared" si="51"/>
        <v>14.135472350980766</v>
      </c>
      <c r="J156" s="110">
        <f t="shared" si="51"/>
        <v>6.6496286059516487</v>
      </c>
      <c r="K156" s="275">
        <f t="shared" si="50"/>
        <v>45679.868715277858</v>
      </c>
    </row>
    <row r="157" spans="2:11" x14ac:dyDescent="0.2">
      <c r="B157" s="108">
        <f t="shared" si="46"/>
        <v>4751420</v>
      </c>
      <c r="C157" s="5">
        <v>118</v>
      </c>
      <c r="D157" s="109">
        <f t="shared" si="47"/>
        <v>56.325389867915334</v>
      </c>
      <c r="E157" s="110">
        <f t="shared" si="49"/>
        <v>18.77325244297618</v>
      </c>
      <c r="F157" s="110">
        <f t="shared" si="51"/>
        <v>14.334811721384453</v>
      </c>
      <c r="G157" s="110">
        <f t="shared" si="51"/>
        <v>2.7655766425146426</v>
      </c>
      <c r="H157" s="110">
        <f t="shared" si="51"/>
        <v>1.1265077973583067E-2</v>
      </c>
      <c r="I157" s="110">
        <f t="shared" si="51"/>
        <v>13.901106219401504</v>
      </c>
      <c r="J157" s="110">
        <f t="shared" si="51"/>
        <v>6.5393777636649704</v>
      </c>
      <c r="K157" s="275">
        <f t="shared" si="50"/>
        <v>45691.219409722304</v>
      </c>
    </row>
    <row r="158" spans="2:11" x14ac:dyDescent="0.2">
      <c r="B158" s="108">
        <f t="shared" si="46"/>
        <v>4784110</v>
      </c>
      <c r="C158" s="5">
        <v>119</v>
      </c>
      <c r="D158" s="109">
        <f t="shared" si="47"/>
        <v>55.391514903905296</v>
      </c>
      <c r="E158" s="110">
        <f t="shared" si="49"/>
        <v>18.461991917471636</v>
      </c>
      <c r="F158" s="110">
        <f t="shared" si="51"/>
        <v>14.097140543043897</v>
      </c>
      <c r="G158" s="110">
        <f t="shared" si="51"/>
        <v>2.7197233817817499</v>
      </c>
      <c r="H158" s="110">
        <f t="shared" si="51"/>
        <v>1.107830298078106E-2</v>
      </c>
      <c r="I158" s="110">
        <f t="shared" si="51"/>
        <v>13.670625878283827</v>
      </c>
      <c r="J158" s="110">
        <f t="shared" si="51"/>
        <v>6.4309548803434042</v>
      </c>
      <c r="K158" s="275">
        <f t="shared" si="50"/>
        <v>45702.570104166749</v>
      </c>
    </row>
    <row r="159" spans="2:11" x14ac:dyDescent="0.2">
      <c r="B159" s="108">
        <f t="shared" si="46"/>
        <v>4816800</v>
      </c>
      <c r="C159" s="5">
        <v>120</v>
      </c>
      <c r="D159" s="109">
        <f t="shared" si="47"/>
        <v>54.473123586798543</v>
      </c>
      <c r="E159" s="110">
        <f t="shared" si="49"/>
        <v>18.155892091479952</v>
      </c>
      <c r="F159" s="110">
        <f t="shared" si="51"/>
        <v>13.863409952840229</v>
      </c>
      <c r="G159" s="110">
        <f t="shared" si="51"/>
        <v>2.6746303681118082</v>
      </c>
      <c r="H159" s="110">
        <f t="shared" si="51"/>
        <v>1.0894624717359708E-2</v>
      </c>
      <c r="I159" s="110">
        <f t="shared" si="51"/>
        <v>13.443966901221881</v>
      </c>
      <c r="J159" s="110">
        <f t="shared" si="51"/>
        <v>6.3243296484273106</v>
      </c>
      <c r="K159" s="275">
        <f t="shared" si="50"/>
        <v>45713.920798611194</v>
      </c>
    </row>
    <row r="160" spans="2:11" x14ac:dyDescent="0.2">
      <c r="B160" s="108">
        <f t="shared" si="46"/>
        <v>4849490</v>
      </c>
      <c r="C160" s="5">
        <v>121</v>
      </c>
      <c r="D160" s="109">
        <f t="shared" si="47"/>
        <v>53.569959197729425</v>
      </c>
      <c r="E160" s="110">
        <f t="shared" si="49"/>
        <v>17.854867400603215</v>
      </c>
      <c r="F160" s="110">
        <f t="shared" si="51"/>
        <v>13.633554615822138</v>
      </c>
      <c r="G160" s="110">
        <f t="shared" si="51"/>
        <v>2.6302849966085144</v>
      </c>
      <c r="H160" s="110">
        <f t="shared" si="51"/>
        <v>1.0713991839545885E-2</v>
      </c>
      <c r="I160" s="110">
        <f t="shared" si="51"/>
        <v>13.221065929999622</v>
      </c>
      <c r="J160" s="110">
        <f t="shared" si="51"/>
        <v>6.2194722628563861</v>
      </c>
      <c r="K160" s="275">
        <f t="shared" si="50"/>
        <v>45725.271493055639</v>
      </c>
    </row>
    <row r="161" spans="2:11" x14ac:dyDescent="0.2">
      <c r="B161" s="108">
        <f t="shared" si="46"/>
        <v>4882180</v>
      </c>
      <c r="C161" s="5">
        <v>122</v>
      </c>
      <c r="D161" s="109">
        <f t="shared" si="47"/>
        <v>52.681769274231065</v>
      </c>
      <c r="E161" s="110">
        <f t="shared" si="49"/>
        <v>17.558833699101214</v>
      </c>
      <c r="F161" s="110">
        <f t="shared" si="51"/>
        <v>13.407510280291806</v>
      </c>
      <c r="G161" s="110">
        <f t="shared" si="51"/>
        <v>2.5866748713647452</v>
      </c>
      <c r="H161" s="110">
        <f t="shared" si="51"/>
        <v>1.0536353854846213E-2</v>
      </c>
      <c r="I161" s="110">
        <f t="shared" si="51"/>
        <v>13.001860656880227</v>
      </c>
      <c r="J161" s="110">
        <f t="shared" si="51"/>
        <v>6.1163534127382269</v>
      </c>
      <c r="K161" s="275">
        <f t="shared" si="50"/>
        <v>45736.622187500085</v>
      </c>
    </row>
    <row r="162" spans="2:11" x14ac:dyDescent="0.2">
      <c r="B162" s="108">
        <f t="shared" si="46"/>
        <v>4914870</v>
      </c>
      <c r="C162" s="5">
        <v>123</v>
      </c>
      <c r="D162" s="109">
        <f t="shared" si="47"/>
        <v>51.80830553966431</v>
      </c>
      <c r="E162" s="110">
        <f t="shared" si="49"/>
        <v>17.267708236370115</v>
      </c>
      <c r="F162" s="110">
        <f t="shared" si="51"/>
        <v>13.185213759844567</v>
      </c>
      <c r="G162" s="110">
        <f t="shared" si="51"/>
        <v>2.5437878019975173</v>
      </c>
      <c r="H162" s="110">
        <f t="shared" si="51"/>
        <v>1.0361661107932862E-2</v>
      </c>
      <c r="I162" s="110">
        <f t="shared" si="51"/>
        <v>12.786289807189151</v>
      </c>
      <c r="J162" s="110">
        <f t="shared" si="51"/>
        <v>6.0149442731550264</v>
      </c>
      <c r="K162" s="275">
        <f t="shared" si="50"/>
        <v>45747.97288194453</v>
      </c>
    </row>
    <row r="163" spans="2:11" x14ac:dyDescent="0.2">
      <c r="B163" s="108">
        <f t="shared" si="46"/>
        <v>4947560</v>
      </c>
      <c r="C163" s="5">
        <v>124</v>
      </c>
      <c r="D163" s="109">
        <f t="shared" si="47"/>
        <v>50.949323833816678</v>
      </c>
      <c r="E163" s="110">
        <f t="shared" si="49"/>
        <v>16.981409633811097</v>
      </c>
      <c r="F163" s="110">
        <f t="shared" si="51"/>
        <v>12.966602915706344</v>
      </c>
      <c r="G163" s="110">
        <f t="shared" si="51"/>
        <v>2.5016118002403989</v>
      </c>
      <c r="H163" s="110">
        <f t="shared" si="51"/>
        <v>1.0189864766763337E-2</v>
      </c>
      <c r="I163" s="110">
        <f t="shared" si="51"/>
        <v>12.574293122185956</v>
      </c>
      <c r="J163" s="110">
        <f t="shared" si="51"/>
        <v>5.9152164971061163</v>
      </c>
      <c r="K163" s="275">
        <f t="shared" si="50"/>
        <v>45759.323576388975</v>
      </c>
    </row>
    <row r="164" spans="2:11" x14ac:dyDescent="0.2">
      <c r="B164" s="108">
        <f t="shared" si="46"/>
        <v>4980250</v>
      </c>
      <c r="C164" s="5">
        <v>125</v>
      </c>
      <c r="D164" s="109">
        <f t="shared" si="47"/>
        <v>50.104584044651993</v>
      </c>
      <c r="E164" s="110">
        <f t="shared" si="49"/>
        <v>16.69985786208251</v>
      </c>
      <c r="F164" s="110">
        <f t="shared" si="51"/>
        <v>12.751616639363933</v>
      </c>
      <c r="G164" s="110">
        <f t="shared" si="51"/>
        <v>2.4601350765924126</v>
      </c>
      <c r="H164" s="110">
        <f t="shared" si="51"/>
        <v>1.00209168089304E-2</v>
      </c>
      <c r="I164" s="110">
        <f t="shared" si="51"/>
        <v>12.365811342220111</v>
      </c>
      <c r="J164" s="110">
        <f t="shared" si="51"/>
        <v>5.8171422075840962</v>
      </c>
      <c r="K164" s="275">
        <f t="shared" si="50"/>
        <v>45770.67427083342</v>
      </c>
    </row>
    <row r="165" spans="2:11" x14ac:dyDescent="0.2">
      <c r="B165" s="108">
        <f t="shared" si="46"/>
        <v>5012940</v>
      </c>
      <c r="C165" s="5">
        <v>126</v>
      </c>
      <c r="D165" s="109">
        <f t="shared" si="47"/>
        <v>49.273850041191665</v>
      </c>
      <c r="E165" s="110">
        <f t="shared" si="49"/>
        <v>16.422974218729181</v>
      </c>
      <c r="F165" s="110">
        <f t="shared" si="51"/>
        <v>12.540194835483279</v>
      </c>
      <c r="G165" s="110">
        <f t="shared" si="51"/>
        <v>2.4193460370225108</v>
      </c>
      <c r="H165" s="110">
        <f t="shared" si="51"/>
        <v>9.8547700082383342E-3</v>
      </c>
      <c r="I165" s="110">
        <f t="shared" si="51"/>
        <v>12.160786190166103</v>
      </c>
      <c r="J165" s="110">
        <f t="shared" si="51"/>
        <v>5.7206939897823519</v>
      </c>
      <c r="K165" s="275">
        <f t="shared" si="50"/>
        <v>45782.024965277866</v>
      </c>
    </row>
    <row r="166" spans="2:11" x14ac:dyDescent="0.2">
      <c r="B166" s="108">
        <f t="shared" si="46"/>
        <v>5045630</v>
      </c>
      <c r="C166" s="5">
        <v>127</v>
      </c>
      <c r="D166" s="109">
        <f t="shared" si="47"/>
        <v>48.456889607508707</v>
      </c>
      <c r="E166" s="110">
        <f t="shared" si="49"/>
        <v>16.150681306182651</v>
      </c>
      <c r="F166" s="110">
        <f t="shared" si="51"/>
        <v>12.332278405110966</v>
      </c>
      <c r="G166" s="110">
        <f t="shared" si="51"/>
        <v>2.3792332797286773</v>
      </c>
      <c r="H166" s="110">
        <f t="shared" si="51"/>
        <v>9.6913779215017423E-3</v>
      </c>
      <c r="I166" s="110">
        <f t="shared" si="51"/>
        <v>11.959160355133148</v>
      </c>
      <c r="J166" s="110">
        <f t="shared" si="51"/>
        <v>5.6258448834317605</v>
      </c>
      <c r="K166" s="275">
        <f t="shared" si="50"/>
        <v>45793.375659722311</v>
      </c>
    </row>
    <row r="167" spans="2:11" x14ac:dyDescent="0.2">
      <c r="B167" s="108">
        <f t="shared" si="46"/>
        <v>5078320</v>
      </c>
      <c r="C167" s="5">
        <v>128</v>
      </c>
      <c r="D167" s="109">
        <f t="shared" si="47"/>
        <v>47.65347437781621</v>
      </c>
      <c r="E167" s="110">
        <f t="shared" si="49"/>
        <v>15.882903010126142</v>
      </c>
      <c r="F167" s="110">
        <f t="shared" si="51"/>
        <v>12.127809229154225</v>
      </c>
      <c r="G167" s="110">
        <f t="shared" si="51"/>
        <v>2.339785591950776</v>
      </c>
      <c r="H167" s="110">
        <f t="shared" si="51"/>
        <v>9.5306948755632427E-3</v>
      </c>
      <c r="I167" s="110">
        <f t="shared" si="51"/>
        <v>11.760877476445041</v>
      </c>
      <c r="J167" s="110">
        <f t="shared" si="51"/>
        <v>5.5325683752644617</v>
      </c>
      <c r="K167" s="275">
        <f t="shared" si="50"/>
        <v>45804.726354166756</v>
      </c>
    </row>
    <row r="168" spans="2:11" x14ac:dyDescent="0.2">
      <c r="B168" s="108">
        <f t="shared" ref="B168:B231" si="52">B167+$B$22</f>
        <v>5111010</v>
      </c>
      <c r="C168" s="5">
        <v>129</v>
      </c>
      <c r="D168" s="109">
        <f t="shared" ref="D168:D231" si="53">D167*(1-$C$22)</f>
        <v>46.863379772632015</v>
      </c>
      <c r="E168" s="110">
        <f t="shared" si="49"/>
        <v>15.619564478218249</v>
      </c>
      <c r="F168" s="110">
        <f t="shared" si="51"/>
        <v>11.926730152134848</v>
      </c>
      <c r="G168" s="110">
        <f t="shared" si="51"/>
        <v>2.3009919468362319</v>
      </c>
      <c r="H168" s="110">
        <f t="shared" si="51"/>
        <v>9.3726759545264028E-3</v>
      </c>
      <c r="I168" s="110">
        <f t="shared" si="51"/>
        <v>11.565882127885581</v>
      </c>
      <c r="J168" s="110">
        <f t="shared" si="51"/>
        <v>5.4408383916025764</v>
      </c>
      <c r="K168" s="275">
        <f t="shared" si="50"/>
        <v>45816.077048611201</v>
      </c>
    </row>
    <row r="169" spans="2:11" x14ac:dyDescent="0.2">
      <c r="B169" s="108">
        <f t="shared" si="52"/>
        <v>5143700</v>
      </c>
      <c r="C169" s="5">
        <v>130</v>
      </c>
      <c r="D169" s="109">
        <f t="shared" si="53"/>
        <v>46.086384936001778</v>
      </c>
      <c r="E169" s="110">
        <f t="shared" si="49"/>
        <v>15.360592099169391</v>
      </c>
      <c r="F169" s="110">
        <f t="shared" si="51"/>
        <v>11.728984966212453</v>
      </c>
      <c r="G169" s="110">
        <f t="shared" si="51"/>
        <v>2.2628415003576872</v>
      </c>
      <c r="H169" s="110">
        <f t="shared" si="51"/>
        <v>9.2172769872003561E-3</v>
      </c>
      <c r="I169" s="110">
        <f t="shared" si="51"/>
        <v>11.374119802205238</v>
      </c>
      <c r="J169" s="110">
        <f t="shared" si="51"/>
        <v>5.3506292910698061</v>
      </c>
      <c r="K169" s="275">
        <f t="shared" si="50"/>
        <v>45827.427743055647</v>
      </c>
    </row>
    <row r="170" spans="2:11" x14ac:dyDescent="0.2">
      <c r="B170" s="108">
        <f t="shared" si="52"/>
        <v>5176390</v>
      </c>
      <c r="C170" s="5">
        <v>131</v>
      </c>
      <c r="D170" s="109">
        <f t="shared" si="53"/>
        <v>45.322272673762868</v>
      </c>
      <c r="E170" s="110">
        <f t="shared" si="49"/>
        <v>15.105913482165164</v>
      </c>
      <c r="F170" s="110">
        <f t="shared" si="51"/>
        <v>11.53451839547265</v>
      </c>
      <c r="G170" s="110">
        <f t="shared" si="51"/>
        <v>2.2253235882817566</v>
      </c>
      <c r="H170" s="110">
        <f t="shared" si="51"/>
        <v>9.0644545347525734E-3</v>
      </c>
      <c r="I170" s="110">
        <f t="shared" si="51"/>
        <v>11.185536895884676</v>
      </c>
      <c r="J170" s="110">
        <f t="shared" si="51"/>
        <v>5.2619158574238689</v>
      </c>
      <c r="K170" s="275">
        <f t="shared" si="50"/>
        <v>45838.778437500092</v>
      </c>
    </row>
    <row r="171" spans="2:11" x14ac:dyDescent="0.2">
      <c r="B171" s="108">
        <f t="shared" si="52"/>
        <v>5209080</v>
      </c>
      <c r="C171" s="5">
        <v>132</v>
      </c>
      <c r="D171" s="109">
        <f t="shared" si="53"/>
        <v>44.570829392831875</v>
      </c>
      <c r="E171" s="110">
        <f t="shared" si="49"/>
        <v>14.855457436630862</v>
      </c>
      <c r="F171" s="110">
        <f t="shared" si="51"/>
        <v>11.343276080475713</v>
      </c>
      <c r="G171" s="110">
        <f t="shared" si="51"/>
        <v>2.1884277231880449</v>
      </c>
      <c r="H171" s="110">
        <f t="shared" si="51"/>
        <v>8.9141658785663758E-3</v>
      </c>
      <c r="I171" s="110">
        <f t="shared" si="51"/>
        <v>11.000080694150906</v>
      </c>
      <c r="J171" s="110">
        <f t="shared" si="51"/>
        <v>5.1746732925077801</v>
      </c>
      <c r="K171" s="275">
        <f t="shared" si="50"/>
        <v>45850.129131944537</v>
      </c>
    </row>
    <row r="172" spans="2:11" x14ac:dyDescent="0.2">
      <c r="B172" s="108">
        <f t="shared" si="52"/>
        <v>5241770</v>
      </c>
      <c r="C172" s="5">
        <v>133</v>
      </c>
      <c r="D172" s="109">
        <f t="shared" si="53"/>
        <v>43.831845041498724</v>
      </c>
      <c r="E172" s="110">
        <f t="shared" ref="E172:E235" si="54">D172*E$37</f>
        <v>14.609153952331525</v>
      </c>
      <c r="F172" s="110">
        <f t="shared" si="51"/>
        <v>11.155204563061426</v>
      </c>
      <c r="G172" s="110">
        <f t="shared" si="51"/>
        <v>2.1521435915375871</v>
      </c>
      <c r="H172" s="110">
        <f t="shared" si="51"/>
        <v>8.7663690082997459E-3</v>
      </c>
      <c r="I172" s="110">
        <f t="shared" si="51"/>
        <v>10.817699356241885</v>
      </c>
      <c r="J172" s="110">
        <f t="shared" si="51"/>
        <v>5.0888772093180012</v>
      </c>
      <c r="K172" s="275">
        <f t="shared" si="50"/>
        <v>45861.479826388982</v>
      </c>
    </row>
    <row r="173" spans="2:11" x14ac:dyDescent="0.2">
      <c r="B173" s="108">
        <f t="shared" si="52"/>
        <v>5274460</v>
      </c>
      <c r="C173" s="5">
        <v>134</v>
      </c>
      <c r="D173" s="109">
        <f t="shared" si="53"/>
        <v>43.105113050710671</v>
      </c>
      <c r="E173" s="110">
        <f t="shared" si="54"/>
        <v>14.366934179801866</v>
      </c>
      <c r="F173" s="110">
        <f t="shared" si="51"/>
        <v>10.970251271405866</v>
      </c>
      <c r="G173" s="110">
        <f t="shared" si="51"/>
        <v>2.1164610507898938</v>
      </c>
      <c r="H173" s="110">
        <f t="shared" si="51"/>
        <v>8.6210226101421338E-3</v>
      </c>
      <c r="I173" s="110">
        <f t="shared" si="51"/>
        <v>10.638341900915393</v>
      </c>
      <c r="J173" s="110">
        <f t="shared" si="51"/>
        <v>5.0045036251875086</v>
      </c>
      <c r="K173" s="275">
        <f t="shared" si="50"/>
        <v>45872.830520833428</v>
      </c>
    </row>
    <row r="174" spans="2:11" x14ac:dyDescent="0.2">
      <c r="B174" s="108">
        <f t="shared" si="52"/>
        <v>5307150</v>
      </c>
      <c r="C174" s="5">
        <v>135</v>
      </c>
      <c r="D174" s="109">
        <f t="shared" si="53"/>
        <v>42.390430276329887</v>
      </c>
      <c r="E174" s="110">
        <f t="shared" si="54"/>
        <v>14.128730411100751</v>
      </c>
      <c r="F174" s="110">
        <f t="shared" si="51"/>
        <v>10.788364505325957</v>
      </c>
      <c r="G174" s="110">
        <f t="shared" si="51"/>
        <v>2.0813701265677973</v>
      </c>
      <c r="H174" s="110">
        <f t="shared" si="51"/>
        <v>8.4780860552659786E-3</v>
      </c>
      <c r="I174" s="110">
        <f t="shared" si="51"/>
        <v>10.461958192198216</v>
      </c>
      <c r="J174" s="110">
        <f t="shared" si="51"/>
        <v>4.9215289550819001</v>
      </c>
      <c r="K174" s="275">
        <f t="shared" si="50"/>
        <v>45884.181215277873</v>
      </c>
    </row>
    <row r="175" spans="2:11" x14ac:dyDescent="0.2">
      <c r="B175" s="108">
        <f t="shared" si="52"/>
        <v>5339840</v>
      </c>
      <c r="C175" s="5">
        <v>136</v>
      </c>
      <c r="D175" s="109">
        <f t="shared" si="53"/>
        <v>41.687596942348335</v>
      </c>
      <c r="E175" s="110">
        <f t="shared" si="54"/>
        <v>13.894476060884699</v>
      </c>
      <c r="F175" s="110">
        <f t="shared" si="51"/>
        <v>10.609493421827652</v>
      </c>
      <c r="G175" s="110">
        <f t="shared" si="51"/>
        <v>2.046861009869303</v>
      </c>
      <c r="H175" s="110">
        <f t="shared" si="51"/>
        <v>8.3375193884696677E-3</v>
      </c>
      <c r="I175" s="110">
        <f t="shared" si="51"/>
        <v>10.288498925371568</v>
      </c>
      <c r="J175" s="110">
        <f t="shared" si="51"/>
        <v>4.8399300050066412</v>
      </c>
      <c r="K175" s="275">
        <f t="shared" si="50"/>
        <v>45895.531909722318</v>
      </c>
    </row>
    <row r="176" spans="2:11" x14ac:dyDescent="0.2">
      <c r="B176" s="108">
        <f t="shared" si="52"/>
        <v>5372530</v>
      </c>
      <c r="C176" s="5">
        <v>137</v>
      </c>
      <c r="D176" s="109">
        <f t="shared" si="53"/>
        <v>40.996416585044201</v>
      </c>
      <c r="E176" s="110">
        <f t="shared" si="54"/>
        <v>13.664105647795232</v>
      </c>
      <c r="F176" s="110">
        <f t="shared" si="51"/>
        <v>10.433588020893749</v>
      </c>
      <c r="G176" s="110">
        <f t="shared" si="51"/>
        <v>2.0129240543256701</v>
      </c>
      <c r="H176" s="110">
        <f t="shared" si="51"/>
        <v>8.199283317008841E-3</v>
      </c>
      <c r="I176" s="110">
        <f t="shared" si="51"/>
        <v>10.117915613188909</v>
      </c>
      <c r="J176" s="110">
        <f t="shared" si="51"/>
        <v>4.7596839655236316</v>
      </c>
      <c r="K176" s="275">
        <f t="shared" si="50"/>
        <v>45906.882604166763</v>
      </c>
    </row>
    <row r="177" spans="2:11" x14ac:dyDescent="0.2">
      <c r="B177" s="108">
        <f t="shared" si="52"/>
        <v>5405220</v>
      </c>
      <c r="C177" s="5">
        <v>138</v>
      </c>
      <c r="D177" s="109">
        <f t="shared" si="53"/>
        <v>40.316695998064169</v>
      </c>
      <c r="E177" s="110">
        <f t="shared" si="54"/>
        <v>13.437554776154787</v>
      </c>
      <c r="F177" s="110">
        <f t="shared" si="51"/>
        <v>10.26059913150733</v>
      </c>
      <c r="G177" s="110">
        <f t="shared" si="51"/>
        <v>1.9795497735049505</v>
      </c>
      <c r="H177" s="110">
        <f t="shared" si="51"/>
        <v>8.0633391996128342E-3</v>
      </c>
      <c r="I177" s="110">
        <f t="shared" si="51"/>
        <v>9.9501605723222362</v>
      </c>
      <c r="J177" s="110">
        <f t="shared" si="51"/>
        <v>4.6807684053752494</v>
      </c>
      <c r="K177" s="275">
        <f t="shared" si="50"/>
        <v>45918.233298611209</v>
      </c>
    </row>
    <row r="178" spans="2:11" x14ac:dyDescent="0.2">
      <c r="B178" s="108">
        <f t="shared" si="52"/>
        <v>5437910</v>
      </c>
      <c r="C178" s="5">
        <v>139</v>
      </c>
      <c r="D178" s="109">
        <f t="shared" si="53"/>
        <v>39.648245178416261</v>
      </c>
      <c r="E178" s="110">
        <f t="shared" si="54"/>
        <v>13.214760117966138</v>
      </c>
      <c r="F178" s="110">
        <f t="shared" si="51"/>
        <v>10.090478397906939</v>
      </c>
      <c r="G178" s="110">
        <f t="shared" si="51"/>
        <v>1.9467288382602383</v>
      </c>
      <c r="H178" s="110">
        <f t="shared" si="51"/>
        <v>7.9296490356832519E-3</v>
      </c>
      <c r="I178" s="110">
        <f t="shared" si="51"/>
        <v>9.7851869100331328</v>
      </c>
      <c r="J178" s="110">
        <f t="shared" si="51"/>
        <v>4.6031612652141281</v>
      </c>
      <c r="K178" s="275">
        <f t="shared" si="50"/>
        <v>45929.583993055654</v>
      </c>
    </row>
    <row r="179" spans="2:11" x14ac:dyDescent="0.2">
      <c r="B179" s="108">
        <f t="shared" si="52"/>
        <v>5470600</v>
      </c>
      <c r="C179" s="5">
        <v>140</v>
      </c>
      <c r="D179" s="109">
        <f t="shared" si="53"/>
        <v>38.990877273358116</v>
      </c>
      <c r="E179" s="110">
        <f t="shared" si="54"/>
        <v>12.995659395210259</v>
      </c>
      <c r="F179" s="110">
        <f t="shared" si="51"/>
        <v>9.923178266069641</v>
      </c>
      <c r="G179" s="110">
        <f t="shared" si="51"/>
        <v>1.9144520741218833</v>
      </c>
      <c r="H179" s="110">
        <f t="shared" si="51"/>
        <v>7.7981754546716233E-3</v>
      </c>
      <c r="I179" s="110">
        <f t="shared" si="51"/>
        <v>9.6229485110647826</v>
      </c>
      <c r="J179" s="110">
        <f t="shared" si="51"/>
        <v>4.5268408514368774</v>
      </c>
      <c r="K179" s="275">
        <f t="shared" si="50"/>
        <v>45940.934687500099</v>
      </c>
    </row>
    <row r="180" spans="2:11" x14ac:dyDescent="0.2">
      <c r="B180" s="108">
        <f t="shared" si="52"/>
        <v>5503290</v>
      </c>
      <c r="C180" s="5">
        <v>141</v>
      </c>
      <c r="D180" s="109">
        <f t="shared" si="53"/>
        <v>38.344408528165836</v>
      </c>
      <c r="E180" s="110">
        <f t="shared" si="54"/>
        <v>12.780191362437673</v>
      </c>
      <c r="F180" s="110">
        <f t="shared" si="51"/>
        <v>9.7586519704182049</v>
      </c>
      <c r="G180" s="110">
        <f t="shared" si="51"/>
        <v>1.8827104587329424</v>
      </c>
      <c r="H180" s="110">
        <f t="shared" si="51"/>
        <v>7.6688817056331671E-3</v>
      </c>
      <c r="I180" s="110">
        <f t="shared" si="51"/>
        <v>9.4634000247513281</v>
      </c>
      <c r="J180" s="110">
        <f t="shared" si="51"/>
        <v>4.4517858301200537</v>
      </c>
      <c r="K180" s="275">
        <f t="shared" si="50"/>
        <v>45952.285381944544</v>
      </c>
    </row>
    <row r="181" spans="2:11" x14ac:dyDescent="0.2">
      <c r="B181" s="108">
        <f t="shared" si="52"/>
        <v>5535980</v>
      </c>
      <c r="C181" s="5">
        <v>142</v>
      </c>
      <c r="D181" s="109">
        <f t="shared" si="53"/>
        <v>37.708658234768848</v>
      </c>
      <c r="E181" s="110">
        <f t="shared" si="54"/>
        <v>12.568295789648456</v>
      </c>
      <c r="F181" s="110">
        <f t="shared" si="51"/>
        <v>9.596853520748672</v>
      </c>
      <c r="G181" s="110">
        <f t="shared" si="51"/>
        <v>1.8514951193271503</v>
      </c>
      <c r="H181" s="110">
        <f t="shared" si="51"/>
        <v>7.5417316469537695E-3</v>
      </c>
      <c r="I181" s="110">
        <f t="shared" si="51"/>
        <v>9.3064968523409508</v>
      </c>
      <c r="J181" s="110">
        <f t="shared" si="51"/>
        <v>4.3779752210566629</v>
      </c>
      <c r="K181" s="275">
        <f t="shared" si="50"/>
        <v>45963.63607638899</v>
      </c>
    </row>
    <row r="182" spans="2:11" x14ac:dyDescent="0.2">
      <c r="B182" s="108">
        <f t="shared" si="52"/>
        <v>5568670</v>
      </c>
      <c r="C182" s="5">
        <v>143</v>
      </c>
      <c r="D182" s="109">
        <f t="shared" si="53"/>
        <v>37.083448681236376</v>
      </c>
      <c r="E182" s="110">
        <f t="shared" si="54"/>
        <v>12.359913445456083</v>
      </c>
      <c r="F182" s="110">
        <f t="shared" si="51"/>
        <v>9.4377376893746572</v>
      </c>
      <c r="G182" s="110">
        <f t="shared" si="51"/>
        <v>1.8207973302487059</v>
      </c>
      <c r="H182" s="110">
        <f t="shared" si="51"/>
        <v>7.4166897362472756E-3</v>
      </c>
      <c r="I182" s="110">
        <f t="shared" si="51"/>
        <v>9.152195134529137</v>
      </c>
      <c r="J182" s="110">
        <f t="shared" si="51"/>
        <v>4.305388391891543</v>
      </c>
      <c r="K182" s="275">
        <f t="shared" si="50"/>
        <v>45974.986770833435</v>
      </c>
    </row>
    <row r="183" spans="2:11" x14ac:dyDescent="0.2">
      <c r="B183" s="108">
        <f t="shared" si="52"/>
        <v>5601360</v>
      </c>
      <c r="C183" s="5">
        <v>144</v>
      </c>
      <c r="D183" s="109">
        <f t="shared" si="53"/>
        <v>36.468605102101478</v>
      </c>
      <c r="E183" s="110">
        <f t="shared" si="54"/>
        <v>12.154986080530422</v>
      </c>
      <c r="F183" s="110">
        <f t="shared" si="51"/>
        <v>9.2812599984848259</v>
      </c>
      <c r="G183" s="110">
        <f t="shared" si="51"/>
        <v>1.7906085105131824</v>
      </c>
      <c r="H183" s="110">
        <f t="shared" si="51"/>
        <v>7.2937210204202961E-3</v>
      </c>
      <c r="I183" s="110">
        <f t="shared" si="51"/>
        <v>9.0004517391986436</v>
      </c>
      <c r="J183" s="110">
        <f t="shared" si="51"/>
        <v>4.2340050523539814</v>
      </c>
      <c r="K183" s="275">
        <f t="shared" si="50"/>
        <v>45986.33746527788</v>
      </c>
    </row>
    <row r="184" spans="2:11" x14ac:dyDescent="0.2">
      <c r="B184" s="108">
        <f t="shared" si="52"/>
        <v>5634050</v>
      </c>
      <c r="C184" s="5">
        <v>145</v>
      </c>
      <c r="D184" s="109">
        <f t="shared" si="53"/>
        <v>35.863955629508631</v>
      </c>
      <c r="E184" s="110">
        <f t="shared" si="54"/>
        <v>11.953456411315226</v>
      </c>
      <c r="F184" s="110">
        <f t="shared" si="51"/>
        <v>9.1273767077099475</v>
      </c>
      <c r="G184" s="110">
        <f t="shared" si="51"/>
        <v>1.7609202214088737</v>
      </c>
      <c r="H184" s="110">
        <f t="shared" si="51"/>
        <v>7.1727911259017261E-3</v>
      </c>
      <c r="I184" s="110">
        <f t="shared" si="51"/>
        <v>8.8512242493627298</v>
      </c>
      <c r="J184" s="110">
        <f t="shared" si="51"/>
        <v>4.1638052485859518</v>
      </c>
      <c r="K184" s="275">
        <f t="shared" si="50"/>
        <v>45997.688159722326</v>
      </c>
    </row>
    <row r="185" spans="2:11" x14ac:dyDescent="0.2">
      <c r="B185" s="108">
        <f t="shared" si="52"/>
        <v>5666740</v>
      </c>
      <c r="C185" s="5">
        <v>146</v>
      </c>
      <c r="D185" s="109">
        <f t="shared" si="53"/>
        <v>35.269331245171379</v>
      </c>
      <c r="E185" s="110">
        <f t="shared" si="54"/>
        <v>11.75526810401562</v>
      </c>
      <c r="F185" s="110">
        <f t="shared" si="51"/>
        <v>8.9760448018961156</v>
      </c>
      <c r="G185" s="110">
        <f t="shared" si="51"/>
        <v>1.7317241641379146</v>
      </c>
      <c r="H185" s="110">
        <f t="shared" si="51"/>
        <v>7.0538662490342765E-3</v>
      </c>
      <c r="I185" s="110">
        <f t="shared" si="51"/>
        <v>8.7044709513082967</v>
      </c>
      <c r="J185" s="110">
        <f t="shared" si="51"/>
        <v>4.0947693575643971</v>
      </c>
      <c r="K185" s="275">
        <f t="shared" si="50"/>
        <v>46009.038854166771</v>
      </c>
    </row>
    <row r="186" spans="2:11" x14ac:dyDescent="0.2">
      <c r="B186" s="108">
        <f t="shared" si="52"/>
        <v>5699430</v>
      </c>
      <c r="C186" s="5">
        <v>147</v>
      </c>
      <c r="D186" s="109">
        <f t="shared" si="53"/>
        <v>34.684565733126433</v>
      </c>
      <c r="E186" s="110">
        <f t="shared" si="54"/>
        <v>11.56036575885104</v>
      </c>
      <c r="F186" s="110">
        <f t="shared" si="51"/>
        <v>8.8272219790806776</v>
      </c>
      <c r="G186" s="110">
        <f t="shared" si="51"/>
        <v>1.7030121774965079</v>
      </c>
      <c r="H186" s="110">
        <f t="shared" si="51"/>
        <v>6.9369131466252868E-3</v>
      </c>
      <c r="I186" s="110">
        <f t="shared" si="51"/>
        <v>8.5601508229356043</v>
      </c>
      <c r="J186" s="110">
        <f t="shared" si="51"/>
        <v>4.0268780816159788</v>
      </c>
      <c r="K186" s="275">
        <f t="shared" ref="K186:K249" si="55">K185+($D$22/24/60/60)*$B$22</f>
        <v>46020.389548611216</v>
      </c>
    </row>
    <row r="187" spans="2:11" x14ac:dyDescent="0.2">
      <c r="B187" s="108">
        <f t="shared" si="52"/>
        <v>5732120</v>
      </c>
      <c r="C187" s="5">
        <v>148</v>
      </c>
      <c r="D187" s="109">
        <f t="shared" si="53"/>
        <v>34.109495633271194</v>
      </c>
      <c r="E187" s="110">
        <f t="shared" si="54"/>
        <v>11.368694894569289</v>
      </c>
      <c r="F187" s="110">
        <f t="shared" si="51"/>
        <v>8.6808666386675188</v>
      </c>
      <c r="G187" s="110">
        <f t="shared" si="51"/>
        <v>1.6747762355936155</v>
      </c>
      <c r="H187" s="110">
        <f t="shared" si="51"/>
        <v>6.8218991266542394E-3</v>
      </c>
      <c r="I187" s="110">
        <f t="shared" si="51"/>
        <v>8.4182235222913313</v>
      </c>
      <c r="J187" s="110">
        <f t="shared" si="51"/>
        <v>3.9601124430227856</v>
      </c>
      <c r="K187" s="275">
        <f t="shared" si="55"/>
        <v>46031.740243055661</v>
      </c>
    </row>
    <row r="188" spans="2:11" x14ac:dyDescent="0.2">
      <c r="B188" s="108">
        <f t="shared" si="52"/>
        <v>5764810</v>
      </c>
      <c r="C188" s="5">
        <v>149</v>
      </c>
      <c r="D188" s="109">
        <f t="shared" si="53"/>
        <v>33.543960195671559</v>
      </c>
      <c r="E188" s="110">
        <f t="shared" si="54"/>
        <v>11.180201933217329</v>
      </c>
      <c r="F188" s="110">
        <f t="shared" si="51"/>
        <v>8.5369378697984111</v>
      </c>
      <c r="G188" s="110">
        <f t="shared" si="51"/>
        <v>1.6470084456074734</v>
      </c>
      <c r="H188" s="110">
        <f t="shared" si="51"/>
        <v>6.708792039134312E-3</v>
      </c>
      <c r="I188" s="110">
        <f t="shared" si="51"/>
        <v>8.2786493762917406</v>
      </c>
      <c r="J188" s="110">
        <f t="shared" si="51"/>
        <v>3.8944537787174678</v>
      </c>
      <c r="K188" s="275">
        <f t="shared" si="55"/>
        <v>46043.090937500107</v>
      </c>
    </row>
    <row r="189" spans="2:11" x14ac:dyDescent="0.2">
      <c r="B189" s="108">
        <f t="shared" si="52"/>
        <v>5797500</v>
      </c>
      <c r="C189" s="5">
        <v>150</v>
      </c>
      <c r="D189" s="109">
        <f t="shared" si="53"/>
        <v>32.987801335627324</v>
      </c>
      <c r="E189" s="110">
        <f t="shared" si="54"/>
        <v>10.994834185164587</v>
      </c>
      <c r="F189" s="110">
        <f t="shared" si="51"/>
        <v>8.395395439917154</v>
      </c>
      <c r="G189" s="110">
        <f t="shared" si="51"/>
        <v>1.6197010455793015</v>
      </c>
      <c r="H189" s="110">
        <f t="shared" si="51"/>
        <v>6.5975602671254656E-3</v>
      </c>
      <c r="I189" s="110">
        <f t="shared" si="51"/>
        <v>8.1413893696328241</v>
      </c>
      <c r="J189" s="110">
        <f t="shared" si="51"/>
        <v>3.8298837350663324</v>
      </c>
      <c r="K189" s="275">
        <f t="shared" si="55"/>
        <v>46054.441631944552</v>
      </c>
    </row>
    <row r="190" spans="2:11" x14ac:dyDescent="0.2">
      <c r="B190" s="108">
        <f t="shared" si="52"/>
        <v>5830190</v>
      </c>
      <c r="C190" s="5">
        <v>151</v>
      </c>
      <c r="D190" s="109">
        <f t="shared" si="53"/>
        <v>32.440863589482625</v>
      </c>
      <c r="E190" s="110">
        <f t="shared" si="54"/>
        <v>10.812539834374558</v>
      </c>
      <c r="F190" s="110">
        <f t="shared" si="51"/>
        <v>8.2561997835233285</v>
      </c>
      <c r="G190" s="110">
        <f t="shared" si="51"/>
        <v>1.5928464022435969</v>
      </c>
      <c r="H190" s="110">
        <f t="shared" si="51"/>
        <v>6.4881727178965256E-3</v>
      </c>
      <c r="I190" s="110">
        <f t="shared" si="51"/>
        <v>8.0064051338843107</v>
      </c>
      <c r="J190" s="110">
        <f t="shared" si="51"/>
        <v>3.7663842627389323</v>
      </c>
      <c r="K190" s="275">
        <f t="shared" si="55"/>
        <v>46065.792326388997</v>
      </c>
    </row>
    <row r="191" spans="2:11" x14ac:dyDescent="0.2">
      <c r="B191" s="108">
        <f t="shared" si="52"/>
        <v>5862880</v>
      </c>
      <c r="C191" s="5">
        <v>152</v>
      </c>
      <c r="D191" s="109">
        <f t="shared" si="53"/>
        <v>31.902994071169001</v>
      </c>
      <c r="E191" s="110">
        <f t="shared" si="54"/>
        <v>10.633267923920627</v>
      </c>
      <c r="F191" s="110">
        <f t="shared" si="51"/>
        <v>8.1193119911125109</v>
      </c>
      <c r="G191" s="110">
        <f t="shared" si="51"/>
        <v>1.566437008894398</v>
      </c>
      <c r="H191" s="110">
        <f t="shared" si="51"/>
        <v>6.3805988142338005E-3</v>
      </c>
      <c r="I191" s="110">
        <f t="shared" si="51"/>
        <v>7.8736589367645093</v>
      </c>
      <c r="J191" s="110">
        <f t="shared" si="51"/>
        <v>3.7039376116627207</v>
      </c>
      <c r="K191" s="275">
        <f t="shared" si="55"/>
        <v>46077.143020833442</v>
      </c>
    </row>
    <row r="192" spans="2:11" x14ac:dyDescent="0.2">
      <c r="B192" s="108">
        <f t="shared" si="52"/>
        <v>5895570</v>
      </c>
      <c r="C192" s="5">
        <v>153</v>
      </c>
      <c r="D192" s="109">
        <f t="shared" si="53"/>
        <v>31.374042429469018</v>
      </c>
      <c r="E192" s="110">
        <f t="shared" si="54"/>
        <v>10.456968341742023</v>
      </c>
      <c r="F192" s="110">
        <f t="shared" si="51"/>
        <v>7.9846937982998654</v>
      </c>
      <c r="G192" s="110">
        <f t="shared" si="51"/>
        <v>1.5404654832869287</v>
      </c>
      <c r="H192" s="110">
        <f t="shared" si="51"/>
        <v>6.2748084858938041E-3</v>
      </c>
      <c r="I192" s="110">
        <f t="shared" si="51"/>
        <v>7.7431136715929529</v>
      </c>
      <c r="J192" s="110">
        <f t="shared" si="51"/>
        <v>3.6425263260613527</v>
      </c>
      <c r="K192" s="275">
        <f t="shared" si="55"/>
        <v>46088.493715277888</v>
      </c>
    </row>
    <row r="193" spans="2:11" x14ac:dyDescent="0.2">
      <c r="B193" s="108">
        <f t="shared" si="52"/>
        <v>5928260</v>
      </c>
      <c r="C193" s="5">
        <v>154</v>
      </c>
      <c r="D193" s="109">
        <f t="shared" si="53"/>
        <v>30.853860805988422</v>
      </c>
      <c r="E193" s="110">
        <f t="shared" si="54"/>
        <v>10.28359180663594</v>
      </c>
      <c r="F193" s="110">
        <f t="shared" si="51"/>
        <v>7.8523075751240539</v>
      </c>
      <c r="G193" s="110">
        <f t="shared" si="51"/>
        <v>1.5149245655740315</v>
      </c>
      <c r="H193" s="110">
        <f t="shared" si="51"/>
        <v>6.1707721611976843E-3</v>
      </c>
      <c r="I193" s="110">
        <f t="shared" si="51"/>
        <v>7.6147328469179421</v>
      </c>
      <c r="J193" s="110">
        <f t="shared" si="51"/>
        <v>3.5821332395752554</v>
      </c>
      <c r="K193" s="275">
        <f t="shared" si="55"/>
        <v>46099.844409722333</v>
      </c>
    </row>
    <row r="194" spans="2:11" x14ac:dyDescent="0.2">
      <c r="B194" s="108">
        <f t="shared" si="52"/>
        <v>5960950</v>
      </c>
      <c r="C194" s="5">
        <v>155</v>
      </c>
      <c r="D194" s="109">
        <f t="shared" si="53"/>
        <v>30.342303793825131</v>
      </c>
      <c r="E194" s="110">
        <f t="shared" si="54"/>
        <v>10.113089854481915</v>
      </c>
      <c r="F194" s="110">
        <f t="shared" si="51"/>
        <v>7.7221163155284964</v>
      </c>
      <c r="G194" s="110">
        <f t="shared" si="51"/>
        <v>1.4898071162768138</v>
      </c>
      <c r="H194" s="110">
        <f t="shared" si="51"/>
        <v>6.0684607587650269E-3</v>
      </c>
      <c r="I194" s="110">
        <f t="shared" si="51"/>
        <v>7.488480576316042</v>
      </c>
      <c r="J194" s="110">
        <f t="shared" si="51"/>
        <v>3.5227414704630977</v>
      </c>
      <c r="K194" s="275">
        <f t="shared" si="55"/>
        <v>46111.195104166778</v>
      </c>
    </row>
    <row r="195" spans="2:11" x14ac:dyDescent="0.2">
      <c r="B195" s="108">
        <f t="shared" si="52"/>
        <v>5993640</v>
      </c>
      <c r="C195" s="5">
        <v>156</v>
      </c>
      <c r="D195" s="109">
        <f t="shared" si="53"/>
        <v>29.839228396923509</v>
      </c>
      <c r="E195" s="110">
        <f t="shared" si="54"/>
        <v>9.9454148246946055</v>
      </c>
      <c r="F195" s="110">
        <f t="shared" si="51"/>
        <v>7.5940836270170333</v>
      </c>
      <c r="G195" s="110">
        <f t="shared" si="51"/>
        <v>1.4651061142889443</v>
      </c>
      <c r="H195" s="110">
        <f t="shared" si="51"/>
        <v>5.9678456793847024E-3</v>
      </c>
      <c r="I195" s="110">
        <f t="shared" si="51"/>
        <v>7.3643215683607215</v>
      </c>
      <c r="J195" s="110">
        <f t="shared" si="51"/>
        <v>3.4643344168828194</v>
      </c>
      <c r="K195" s="275">
        <f t="shared" si="55"/>
        <v>46122.545798611223</v>
      </c>
    </row>
    <row r="196" spans="2:11" x14ac:dyDescent="0.2">
      <c r="B196" s="108">
        <f t="shared" si="52"/>
        <v>6026330</v>
      </c>
      <c r="C196" s="5">
        <v>157</v>
      </c>
      <c r="D196" s="109">
        <f t="shared" si="53"/>
        <v>29.344493990102517</v>
      </c>
      <c r="E196" s="110">
        <f t="shared" si="54"/>
        <v>9.7805198469011678</v>
      </c>
      <c r="F196" s="110">
        <f t="shared" si="51"/>
        <v>7.468173720481091</v>
      </c>
      <c r="G196" s="110">
        <f t="shared" si="51"/>
        <v>1.4408146549140335</v>
      </c>
      <c r="H196" s="110">
        <f t="shared" si="51"/>
        <v>5.8688987980205038E-3</v>
      </c>
      <c r="I196" s="110">
        <f t="shared" si="51"/>
        <v>7.2422211167573014</v>
      </c>
      <c r="J196" s="110">
        <f t="shared" si="51"/>
        <v>3.406895752250902</v>
      </c>
      <c r="K196" s="275">
        <f t="shared" si="55"/>
        <v>46133.896493055669</v>
      </c>
    </row>
    <row r="197" spans="2:11" x14ac:dyDescent="0.2">
      <c r="B197" s="108">
        <f t="shared" si="52"/>
        <v>6059020</v>
      </c>
      <c r="C197" s="5">
        <v>158</v>
      </c>
      <c r="D197" s="109">
        <f t="shared" si="53"/>
        <v>28.857962279746616</v>
      </c>
      <c r="E197" s="110">
        <f t="shared" si="54"/>
        <v>9.6183588278395469</v>
      </c>
      <c r="F197" s="110">
        <f t="shared" si="51"/>
        <v>7.3443514001955137</v>
      </c>
      <c r="G197" s="110">
        <f t="shared" si="51"/>
        <v>1.4169259479355587</v>
      </c>
      <c r="H197" s="110">
        <f t="shared" si="51"/>
        <v>5.7715924559493233E-3</v>
      </c>
      <c r="I197" s="110">
        <f t="shared" si="51"/>
        <v>7.1221450906414647</v>
      </c>
      <c r="J197" s="110">
        <f t="shared" si="51"/>
        <v>3.3504094206785822</v>
      </c>
      <c r="K197" s="275">
        <f t="shared" si="55"/>
        <v>46145.247187500114</v>
      </c>
    </row>
    <row r="198" spans="2:11" x14ac:dyDescent="0.2">
      <c r="B198" s="108">
        <f t="shared" si="52"/>
        <v>6091710</v>
      </c>
      <c r="C198" s="5">
        <v>159</v>
      </c>
      <c r="D198" s="109">
        <f t="shared" si="53"/>
        <v>28.379497265148416</v>
      </c>
      <c r="E198" s="110">
        <f t="shared" si="54"/>
        <v>9.4588864384739662</v>
      </c>
      <c r="F198" s="110">
        <f t="shared" si="51"/>
        <v>7.2225820539802719</v>
      </c>
      <c r="G198" s="110">
        <f t="shared" si="51"/>
        <v>1.3934333157187873</v>
      </c>
      <c r="H198" s="110">
        <f t="shared" si="51"/>
        <v>5.6758994530296831E-3</v>
      </c>
      <c r="I198" s="110">
        <f t="shared" si="51"/>
        <v>7.0040599250386286</v>
      </c>
      <c r="J198" s="110">
        <f t="shared" si="51"/>
        <v>3.2948596324837309</v>
      </c>
      <c r="K198" s="275">
        <f t="shared" si="55"/>
        <v>46156.597881944559</v>
      </c>
    </row>
    <row r="199" spans="2:11" x14ac:dyDescent="0.2">
      <c r="B199" s="108">
        <f t="shared" si="52"/>
        <v>6124400</v>
      </c>
      <c r="C199" s="5">
        <v>160</v>
      </c>
      <c r="D199" s="109">
        <f t="shared" si="53"/>
        <v>27.908965200492254</v>
      </c>
      <c r="E199" s="110">
        <f t="shared" si="54"/>
        <v>9.302058101324068</v>
      </c>
      <c r="F199" s="110">
        <f t="shared" si="51"/>
        <v>7.1028316435252785</v>
      </c>
      <c r="G199" s="110">
        <f t="shared" si="51"/>
        <v>1.3703301913441697</v>
      </c>
      <c r="H199" s="110">
        <f t="shared" si="51"/>
        <v>5.5817930400984513E-3</v>
      </c>
      <c r="I199" s="110">
        <f t="shared" si="51"/>
        <v>6.8879326114814878</v>
      </c>
      <c r="J199" s="110">
        <f t="shared" si="51"/>
        <v>3.2402308597771508</v>
      </c>
      <c r="K199" s="275">
        <f t="shared" si="55"/>
        <v>46167.948576389004</v>
      </c>
    </row>
    <row r="200" spans="2:11" x14ac:dyDescent="0.2">
      <c r="B200" s="108">
        <f t="shared" si="52"/>
        <v>6157090</v>
      </c>
      <c r="C200" s="5">
        <v>161</v>
      </c>
      <c r="D200" s="109">
        <f t="shared" si="53"/>
        <v>27.446234557468092</v>
      </c>
      <c r="E200" s="110">
        <f t="shared" si="54"/>
        <v>9.1478299780041148</v>
      </c>
      <c r="F200" s="110">
        <f t="shared" si="51"/>
        <v>6.9850666948756297</v>
      </c>
      <c r="G200" s="110">
        <f t="shared" si="51"/>
        <v>1.3476101167716832</v>
      </c>
      <c r="H200" s="110">
        <f t="shared" si="51"/>
        <v>5.489246911493619E-3</v>
      </c>
      <c r="I200" s="110">
        <f t="shared" si="51"/>
        <v>6.7737306887831252</v>
      </c>
      <c r="J200" s="110">
        <f t="shared" si="51"/>
        <v>3.1865078321220452</v>
      </c>
      <c r="K200" s="275">
        <f t="shared" si="55"/>
        <v>46179.29927083345</v>
      </c>
    </row>
    <row r="201" spans="2:11" x14ac:dyDescent="0.2">
      <c r="B201" s="108">
        <f t="shared" si="52"/>
        <v>6189780</v>
      </c>
      <c r="C201" s="5">
        <v>162</v>
      </c>
      <c r="D201" s="109">
        <f t="shared" si="53"/>
        <v>26.991175988505269</v>
      </c>
      <c r="E201" s="110">
        <f t="shared" si="54"/>
        <v>8.9961589569688059</v>
      </c>
      <c r="F201" s="110">
        <f t="shared" si="51"/>
        <v>6.8692542890745907</v>
      </c>
      <c r="G201" s="110">
        <f t="shared" si="51"/>
        <v>1.3252667410356087</v>
      </c>
      <c r="H201" s="110">
        <f t="shared" si="51"/>
        <v>5.3982351977010538E-3</v>
      </c>
      <c r="I201" s="110">
        <f t="shared" si="51"/>
        <v>6.6614222339631004</v>
      </c>
      <c r="J201" s="110">
        <f t="shared" si="51"/>
        <v>3.1336755322654617</v>
      </c>
      <c r="K201" s="275">
        <f t="shared" si="55"/>
        <v>46190.649965277895</v>
      </c>
    </row>
    <row r="202" spans="2:11" x14ac:dyDescent="0.2">
      <c r="B202" s="108">
        <f t="shared" si="52"/>
        <v>6222470</v>
      </c>
      <c r="C202" s="5">
        <v>163</v>
      </c>
      <c r="D202" s="109">
        <f t="shared" si="53"/>
        <v>26.543662290615849</v>
      </c>
      <c r="E202" s="110">
        <f t="shared" si="54"/>
        <v>8.8470026414622627</v>
      </c>
      <c r="F202" s="110">
        <f t="shared" si="51"/>
        <v>6.7553620529617335</v>
      </c>
      <c r="G202" s="110">
        <f t="shared" si="51"/>
        <v>1.3032938184692382</v>
      </c>
      <c r="H202" s="110">
        <f t="shared" si="51"/>
        <v>5.3087324581231696E-3</v>
      </c>
      <c r="I202" s="110">
        <f t="shared" si="51"/>
        <v>6.5509758533239912</v>
      </c>
      <c r="J202" s="110">
        <f t="shared" si="51"/>
        <v>3.0817191919405</v>
      </c>
      <c r="K202" s="275">
        <f t="shared" si="55"/>
        <v>46202.00065972234</v>
      </c>
    </row>
    <row r="203" spans="2:11" x14ac:dyDescent="0.2">
      <c r="B203" s="108">
        <f t="shared" si="52"/>
        <v>6255160</v>
      </c>
      <c r="C203" s="5">
        <v>164</v>
      </c>
      <c r="D203" s="109">
        <f t="shared" si="53"/>
        <v>26.103568369837436</v>
      </c>
      <c r="E203" s="110">
        <f t="shared" si="54"/>
        <v>8.7003193376668175</v>
      </c>
      <c r="F203" s="110">
        <f t="shared" si="51"/>
        <v>6.6433581501236274</v>
      </c>
      <c r="G203" s="110">
        <f t="shared" si="51"/>
        <v>1.2816852069590181</v>
      </c>
      <c r="H203" s="110">
        <f t="shared" si="51"/>
        <v>5.2207136739674878E-3</v>
      </c>
      <c r="I203" s="110">
        <f t="shared" si="51"/>
        <v>6.4423606736758794</v>
      </c>
      <c r="J203" s="110">
        <f t="shared" si="51"/>
        <v>3.0306242877381262</v>
      </c>
      <c r="K203" s="275">
        <f t="shared" si="55"/>
        <v>46213.351354166785</v>
      </c>
    </row>
    <row r="204" spans="2:11" x14ac:dyDescent="0.2">
      <c r="B204" s="108">
        <f t="shared" si="52"/>
        <v>6287850</v>
      </c>
      <c r="C204" s="5">
        <v>165</v>
      </c>
      <c r="D204" s="109">
        <f t="shared" si="53"/>
        <v>25.670771206265531</v>
      </c>
      <c r="E204" s="110">
        <f t="shared" si="54"/>
        <v>8.5560680430483007</v>
      </c>
      <c r="F204" s="110">
        <f t="shared" si="51"/>
        <v>6.5332112719945776</v>
      </c>
      <c r="G204" s="110">
        <f t="shared" si="51"/>
        <v>1.2604348662276375</v>
      </c>
      <c r="H204" s="110">
        <f t="shared" si="51"/>
        <v>5.1341542412531062E-3</v>
      </c>
      <c r="I204" s="110">
        <f t="shared" si="51"/>
        <v>6.3355463337063327</v>
      </c>
      <c r="J204" s="110">
        <f t="shared" si="51"/>
        <v>2.980376537047428</v>
      </c>
      <c r="K204" s="275">
        <f t="shared" si="55"/>
        <v>46224.702048611231</v>
      </c>
    </row>
    <row r="205" spans="2:11" x14ac:dyDescent="0.2">
      <c r="B205" s="108">
        <f t="shared" si="52"/>
        <v>6320540</v>
      </c>
      <c r="C205" s="5">
        <v>166</v>
      </c>
      <c r="D205" s="109">
        <f t="shared" si="53"/>
        <v>25.245149819665649</v>
      </c>
      <c r="E205" s="110">
        <f t="shared" si="54"/>
        <v>8.4142084348945598</v>
      </c>
      <c r="F205" s="110">
        <f t="shared" si="51"/>
        <v>6.4248906291049073</v>
      </c>
      <c r="G205" s="110">
        <f t="shared" si="51"/>
        <v>1.2395368561455833</v>
      </c>
      <c r="H205" s="110">
        <f t="shared" si="51"/>
        <v>5.0490299639331304E-3</v>
      </c>
      <c r="I205" s="110">
        <f t="shared" si="51"/>
        <v>6.230502975493482</v>
      </c>
      <c r="J205" s="110">
        <f t="shared" si="51"/>
        <v>2.9309618940631816</v>
      </c>
      <c r="K205" s="275">
        <f t="shared" si="55"/>
        <v>46236.052743055676</v>
      </c>
    </row>
    <row r="206" spans="2:11" x14ac:dyDescent="0.2">
      <c r="B206" s="108">
        <f t="shared" si="52"/>
        <v>6353230</v>
      </c>
      <c r="C206" s="5">
        <v>167</v>
      </c>
      <c r="D206" s="109">
        <f t="shared" si="53"/>
        <v>24.826585235655592</v>
      </c>
      <c r="E206" s="110">
        <f t="shared" si="54"/>
        <v>8.2747008590440085</v>
      </c>
      <c r="F206" s="110">
        <f t="shared" ref="F206:J237" si="56">$D206*F$37</f>
        <v>6.3183659424743484</v>
      </c>
      <c r="G206" s="110">
        <f t="shared" si="56"/>
        <v>1.2189853350706896</v>
      </c>
      <c r="H206" s="110">
        <f t="shared" si="56"/>
        <v>4.9653170471311188E-3</v>
      </c>
      <c r="I206" s="110">
        <f t="shared" si="56"/>
        <v>6.1272012361597996</v>
      </c>
      <c r="J206" s="110">
        <f t="shared" si="56"/>
        <v>2.8823665458596142</v>
      </c>
      <c r="K206" s="275">
        <f t="shared" si="55"/>
        <v>46247.403437500121</v>
      </c>
    </row>
    <row r="207" spans="2:11" x14ac:dyDescent="0.2">
      <c r="B207" s="108">
        <f t="shared" si="52"/>
        <v>6385920</v>
      </c>
      <c r="C207" s="5">
        <v>168</v>
      </c>
      <c r="D207" s="109">
        <f t="shared" si="53"/>
        <v>24.414960452448423</v>
      </c>
      <c r="E207" s="110">
        <f t="shared" si="54"/>
        <v>8.1375063188010586</v>
      </c>
      <c r="F207" s="110">
        <f t="shared" si="56"/>
        <v>6.2136074351481234</v>
      </c>
      <c r="G207" s="110">
        <f t="shared" si="56"/>
        <v>1.1987745582152174</v>
      </c>
      <c r="H207" s="110">
        <f t="shared" si="56"/>
        <v>4.8829920904896844E-3</v>
      </c>
      <c r="I207" s="110">
        <f t="shared" si="56"/>
        <v>6.0256122396642704</v>
      </c>
      <c r="J207" s="110">
        <f t="shared" si="56"/>
        <v>2.8345769085292618</v>
      </c>
      <c r="K207" s="275">
        <f t="shared" si="55"/>
        <v>46258.754131944566</v>
      </c>
    </row>
    <row r="208" spans="2:11" x14ac:dyDescent="0.2">
      <c r="B208" s="108">
        <f t="shared" si="52"/>
        <v>6418610</v>
      </c>
      <c r="C208" s="5">
        <v>169</v>
      </c>
      <c r="D208" s="109">
        <f t="shared" si="53"/>
        <v>24.010160408146827</v>
      </c>
      <c r="E208" s="110">
        <f t="shared" si="54"/>
        <v>8.0025864640353372</v>
      </c>
      <c r="F208" s="110">
        <f t="shared" si="56"/>
        <v>6.1105858238733672</v>
      </c>
      <c r="G208" s="110">
        <f t="shared" si="56"/>
        <v>1.1788988760400092</v>
      </c>
      <c r="H208" s="110">
        <f t="shared" si="56"/>
        <v>4.8020320816293659E-3</v>
      </c>
      <c r="I208" s="110">
        <f t="shared" si="56"/>
        <v>5.9257075887306367</v>
      </c>
      <c r="J208" s="110">
        <f t="shared" si="56"/>
        <v>2.7875796233858465</v>
      </c>
      <c r="K208" s="275">
        <f t="shared" si="55"/>
        <v>46270.104826389012</v>
      </c>
    </row>
    <row r="209" spans="2:11" x14ac:dyDescent="0.2">
      <c r="B209" s="108">
        <f t="shared" si="52"/>
        <v>6451300</v>
      </c>
      <c r="C209" s="5">
        <v>170</v>
      </c>
      <c r="D209" s="109">
        <f t="shared" si="53"/>
        <v>23.612071948579754</v>
      </c>
      <c r="E209" s="110">
        <f t="shared" si="54"/>
        <v>7.8699035804616315</v>
      </c>
      <c r="F209" s="110">
        <f t="shared" si="56"/>
        <v>6.0092723109135475</v>
      </c>
      <c r="G209" s="110">
        <f t="shared" si="56"/>
        <v>1.159352732675266</v>
      </c>
      <c r="H209" s="110">
        <f t="shared" si="56"/>
        <v>4.7224143897159508E-3</v>
      </c>
      <c r="I209" s="110">
        <f t="shared" si="56"/>
        <v>5.8274593569094826</v>
      </c>
      <c r="J209" s="110">
        <f t="shared" si="56"/>
        <v>2.7413615532301092</v>
      </c>
      <c r="K209" s="275">
        <f t="shared" si="55"/>
        <v>46281.455520833457</v>
      </c>
    </row>
    <row r="210" spans="2:11" x14ac:dyDescent="0.2">
      <c r="B210" s="108">
        <f t="shared" si="52"/>
        <v>6483990</v>
      </c>
      <c r="C210" s="5">
        <v>171</v>
      </c>
      <c r="D210" s="109">
        <f t="shared" si="53"/>
        <v>23.220583795672301</v>
      </c>
      <c r="E210" s="110">
        <f t="shared" si="54"/>
        <v>7.7394205790975779</v>
      </c>
      <c r="F210" s="110">
        <f t="shared" si="56"/>
        <v>5.909638575998601</v>
      </c>
      <c r="G210" s="110">
        <f t="shared" si="56"/>
        <v>1.14013066436751</v>
      </c>
      <c r="H210" s="110">
        <f t="shared" si="56"/>
        <v>4.6441167591344604E-3</v>
      </c>
      <c r="I210" s="110">
        <f t="shared" si="56"/>
        <v>5.730840080771924</v>
      </c>
      <c r="J210" s="110">
        <f t="shared" si="56"/>
        <v>2.6959097786775539</v>
      </c>
      <c r="K210" s="275">
        <f t="shared" si="55"/>
        <v>46292.806215277902</v>
      </c>
    </row>
    <row r="211" spans="2:11" x14ac:dyDescent="0.2">
      <c r="B211" s="108">
        <f t="shared" si="52"/>
        <v>6516680</v>
      </c>
      <c r="C211" s="5">
        <v>172</v>
      </c>
      <c r="D211" s="109">
        <f t="shared" si="53"/>
        <v>22.835586516340054</v>
      </c>
      <c r="E211" s="110">
        <f t="shared" si="54"/>
        <v>7.6111009858961394</v>
      </c>
      <c r="F211" s="110">
        <f t="shared" si="56"/>
        <v>5.8116567684085441</v>
      </c>
      <c r="G211" s="110">
        <f t="shared" si="56"/>
        <v>1.1212272979522966</v>
      </c>
      <c r="H211" s="110">
        <f t="shared" si="56"/>
        <v>4.5671173032680113E-3</v>
      </c>
      <c r="I211" s="110">
        <f t="shared" si="56"/>
        <v>5.6358227522327251</v>
      </c>
      <c r="J211" s="110">
        <f t="shared" si="56"/>
        <v>2.65121159454708</v>
      </c>
      <c r="K211" s="275">
        <f t="shared" si="55"/>
        <v>46304.156909722347</v>
      </c>
    </row>
    <row r="212" spans="2:11" x14ac:dyDescent="0.2">
      <c r="B212" s="108">
        <f t="shared" si="52"/>
        <v>6549370</v>
      </c>
      <c r="C212" s="5">
        <v>173</v>
      </c>
      <c r="D212" s="109">
        <f t="shared" si="53"/>
        <v>22.456972491899137</v>
      </c>
      <c r="E212" s="110">
        <f t="shared" si="54"/>
        <v>7.4849089315499819</v>
      </c>
      <c r="F212" s="110">
        <f t="shared" si="56"/>
        <v>5.7152994991883306</v>
      </c>
      <c r="G212" s="110">
        <f t="shared" si="56"/>
        <v>1.1026373493522477</v>
      </c>
      <c r="H212" s="110">
        <f t="shared" si="56"/>
        <v>4.491394498379828E-3</v>
      </c>
      <c r="I212" s="110">
        <f t="shared" si="56"/>
        <v>5.5423808110007071</v>
      </c>
      <c r="J212" s="110">
        <f t="shared" si="56"/>
        <v>2.6072545063094896</v>
      </c>
      <c r="K212" s="275">
        <f t="shared" si="55"/>
        <v>46315.507604166793</v>
      </c>
    </row>
    <row r="213" spans="2:11" x14ac:dyDescent="0.2">
      <c r="B213" s="108">
        <f t="shared" si="52"/>
        <v>6582060</v>
      </c>
      <c r="C213" s="5">
        <v>174</v>
      </c>
      <c r="D213" s="109">
        <f t="shared" si="53"/>
        <v>22.084635887983449</v>
      </c>
      <c r="E213" s="110">
        <f t="shared" si="54"/>
        <v>7.3608091414648831</v>
      </c>
      <c r="F213" s="110">
        <f t="shared" si="56"/>
        <v>5.6205398334917875</v>
      </c>
      <c r="G213" s="110">
        <f t="shared" si="56"/>
        <v>1.0843556220999873</v>
      </c>
      <c r="H213" s="110">
        <f t="shared" si="56"/>
        <v>4.4169271775966901E-3</v>
      </c>
      <c r="I213" s="110">
        <f t="shared" si="56"/>
        <v>5.4504881371543155</v>
      </c>
      <c r="J213" s="110">
        <f t="shared" si="56"/>
        <v>2.5640262265948781</v>
      </c>
      <c r="K213" s="275">
        <f t="shared" si="55"/>
        <v>46326.858298611238</v>
      </c>
    </row>
    <row r="214" spans="2:11" x14ac:dyDescent="0.2">
      <c r="B214" s="108">
        <f t="shared" si="52"/>
        <v>6614750</v>
      </c>
      <c r="C214" s="5">
        <v>175</v>
      </c>
      <c r="D214" s="109">
        <f t="shared" si="53"/>
        <v>21.718472624960683</v>
      </c>
      <c r="E214" s="110">
        <f t="shared" si="54"/>
        <v>7.2387669258993954</v>
      </c>
      <c r="F214" s="110">
        <f t="shared" si="56"/>
        <v>5.5273512830524938</v>
      </c>
      <c r="G214" s="110">
        <f t="shared" si="56"/>
        <v>1.0663770058855695</v>
      </c>
      <c r="H214" s="110">
        <f t="shared" si="56"/>
        <v>4.3436945249921369E-3</v>
      </c>
      <c r="I214" s="110">
        <f t="shared" si="56"/>
        <v>5.3601190438402959</v>
      </c>
      <c r="J214" s="110">
        <f t="shared" si="56"/>
        <v>2.5215146717579353</v>
      </c>
      <c r="K214" s="275">
        <f t="shared" si="55"/>
        <v>46338.208993055683</v>
      </c>
    </row>
    <row r="215" spans="2:11" x14ac:dyDescent="0.2">
      <c r="B215" s="108">
        <f t="shared" si="52"/>
        <v>6647440</v>
      </c>
      <c r="C215" s="5">
        <v>176</v>
      </c>
      <c r="D215" s="109">
        <f t="shared" si="53"/>
        <v>21.358380348838832</v>
      </c>
      <c r="E215" s="110">
        <f t="shared" si="54"/>
        <v>7.118748170267982</v>
      </c>
      <c r="F215" s="110">
        <f t="shared" si="56"/>
        <v>5.4357077987794824</v>
      </c>
      <c r="G215" s="110">
        <f t="shared" si="56"/>
        <v>1.0486964751279866</v>
      </c>
      <c r="H215" s="110">
        <f t="shared" si="56"/>
        <v>4.2716760697677665E-3</v>
      </c>
      <c r="I215" s="110">
        <f t="shared" si="56"/>
        <v>5.2712482700934231</v>
      </c>
      <c r="J215" s="110">
        <f t="shared" si="56"/>
        <v>2.4797079585001884</v>
      </c>
      <c r="K215" s="275">
        <f t="shared" si="55"/>
        <v>46349.559687500128</v>
      </c>
    </row>
    <row r="216" spans="2:11" x14ac:dyDescent="0.2">
      <c r="B216" s="108">
        <f t="shared" si="52"/>
        <v>6680130</v>
      </c>
      <c r="C216" s="5">
        <v>177</v>
      </c>
      <c r="D216" s="109">
        <f t="shared" si="53"/>
        <v>21.004258402655083</v>
      </c>
      <c r="E216" s="110">
        <f t="shared" si="54"/>
        <v>7.0007193256049387</v>
      </c>
      <c r="F216" s="110">
        <f t="shared" si="56"/>
        <v>5.3455837634757186</v>
      </c>
      <c r="G216" s="110">
        <f t="shared" si="56"/>
        <v>1.0313090875703645</v>
      </c>
      <c r="H216" s="110">
        <f t="shared" si="56"/>
        <v>4.2008516805310163E-3</v>
      </c>
      <c r="I216" s="110">
        <f t="shared" si="56"/>
        <v>5.1838509737752743</v>
      </c>
      <c r="J216" s="110">
        <f t="shared" si="56"/>
        <v>2.4385944005482552</v>
      </c>
      <c r="K216" s="275">
        <f t="shared" si="55"/>
        <v>46360.910381944574</v>
      </c>
    </row>
    <row r="217" spans="2:11" x14ac:dyDescent="0.2">
      <c r="B217" s="108">
        <f t="shared" si="52"/>
        <v>6712820</v>
      </c>
      <c r="C217" s="5">
        <v>178</v>
      </c>
      <c r="D217" s="109">
        <f t="shared" si="53"/>
        <v>20.656007798339061</v>
      </c>
      <c r="E217" s="110">
        <f t="shared" si="54"/>
        <v>6.8846473991864086</v>
      </c>
      <c r="F217" s="110">
        <f t="shared" si="56"/>
        <v>5.256953984677291</v>
      </c>
      <c r="G217" s="110">
        <f t="shared" si="56"/>
        <v>1.0142099828984479</v>
      </c>
      <c r="H217" s="110">
        <f t="shared" si="56"/>
        <v>4.1312015596678122E-3</v>
      </c>
      <c r="I217" s="110">
        <f t="shared" si="56"/>
        <v>5.0979027246300799</v>
      </c>
      <c r="J217" s="110">
        <f t="shared" si="56"/>
        <v>2.3981625053871651</v>
      </c>
      <c r="K217" s="275">
        <f t="shared" si="55"/>
        <v>46372.261076389019</v>
      </c>
    </row>
    <row r="218" spans="2:11" x14ac:dyDescent="0.2">
      <c r="B218" s="108">
        <f t="shared" si="52"/>
        <v>6745510</v>
      </c>
      <c r="C218" s="5">
        <v>179</v>
      </c>
      <c r="D218" s="109">
        <f t="shared" si="53"/>
        <v>20.3135311890426</v>
      </c>
      <c r="E218" s="110">
        <f t="shared" si="54"/>
        <v>6.7704999453078978</v>
      </c>
      <c r="F218" s="110">
        <f t="shared" si="56"/>
        <v>5.1697936876113415</v>
      </c>
      <c r="G218" s="110">
        <f t="shared" si="56"/>
        <v>0.99739438138199155</v>
      </c>
      <c r="H218" s="110">
        <f t="shared" si="56"/>
        <v>4.0627062378085204E-3</v>
      </c>
      <c r="I218" s="110">
        <f t="shared" si="56"/>
        <v>5.0133794974557135</v>
      </c>
      <c r="J218" s="110">
        <f t="shared" si="56"/>
        <v>2.3584009710478457</v>
      </c>
      <c r="K218" s="275">
        <f t="shared" si="55"/>
        <v>46383.611770833464</v>
      </c>
    </row>
    <row r="219" spans="2:11" x14ac:dyDescent="0.2">
      <c r="B219" s="108">
        <f t="shared" si="52"/>
        <v>6778200</v>
      </c>
      <c r="C219" s="5">
        <v>180</v>
      </c>
      <c r="D219" s="109">
        <f t="shared" si="53"/>
        <v>19.976732841928271</v>
      </c>
      <c r="E219" s="110">
        <f t="shared" si="54"/>
        <v>6.6582450562146924</v>
      </c>
      <c r="F219" s="110">
        <f t="shared" si="56"/>
        <v>5.0840785082707454</v>
      </c>
      <c r="G219" s="110">
        <f t="shared" si="56"/>
        <v>0.98085758253867805</v>
      </c>
      <c r="H219" s="110">
        <f t="shared" si="56"/>
        <v>3.9953465683856548E-3</v>
      </c>
      <c r="I219" s="110">
        <f t="shared" si="56"/>
        <v>4.9302576653878969</v>
      </c>
      <c r="J219" s="110">
        <f t="shared" si="56"/>
        <v>2.3192986829478723</v>
      </c>
      <c r="K219" s="275">
        <f t="shared" si="55"/>
        <v>46394.962465277909</v>
      </c>
    </row>
    <row r="220" spans="2:11" x14ac:dyDescent="0.2">
      <c r="B220" s="108">
        <f t="shared" si="52"/>
        <v>6810890</v>
      </c>
      <c r="C220" s="5">
        <v>181</v>
      </c>
      <c r="D220" s="109">
        <f t="shared" si="53"/>
        <v>19.645518611409098</v>
      </c>
      <c r="E220" s="110">
        <f t="shared" si="54"/>
        <v>6.5478513531826525</v>
      </c>
      <c r="F220" s="110">
        <f t="shared" si="56"/>
        <v>4.9997844866036161</v>
      </c>
      <c r="G220" s="110">
        <f t="shared" si="56"/>
        <v>0.96459496382018672</v>
      </c>
      <c r="H220" s="110">
        <f t="shared" si="56"/>
        <v>3.9291037222818201E-3</v>
      </c>
      <c r="I220" s="110">
        <f t="shared" si="56"/>
        <v>4.8485139932957653</v>
      </c>
      <c r="J220" s="110">
        <f t="shared" si="56"/>
        <v>2.2808447107845962</v>
      </c>
      <c r="K220" s="275">
        <f t="shared" si="55"/>
        <v>46406.313159722355</v>
      </c>
    </row>
    <row r="221" spans="2:11" x14ac:dyDescent="0.2">
      <c r="B221" s="108">
        <f t="shared" si="52"/>
        <v>6843580</v>
      </c>
      <c r="C221" s="5">
        <v>182</v>
      </c>
      <c r="D221" s="109">
        <f t="shared" si="53"/>
        <v>19.319795912831935</v>
      </c>
      <c r="E221" s="110">
        <f t="shared" si="54"/>
        <v>6.4392879777468837</v>
      </c>
      <c r="F221" s="110">
        <f t="shared" si="56"/>
        <v>4.9168880598157276</v>
      </c>
      <c r="G221" s="110">
        <f t="shared" si="56"/>
        <v>0.94860197932004797</v>
      </c>
      <c r="H221" s="110">
        <f t="shared" si="56"/>
        <v>3.8639591825663871E-3</v>
      </c>
      <c r="I221" s="110">
        <f t="shared" si="56"/>
        <v>4.7681256312869218</v>
      </c>
      <c r="J221" s="110">
        <f t="shared" si="56"/>
        <v>2.2430283054797875</v>
      </c>
      <c r="K221" s="275">
        <f t="shared" si="55"/>
        <v>46417.6638541668</v>
      </c>
    </row>
    <row r="222" spans="2:11" x14ac:dyDescent="0.2">
      <c r="B222" s="108">
        <f t="shared" si="52"/>
        <v>6876270</v>
      </c>
      <c r="C222" s="5">
        <v>183</v>
      </c>
      <c r="D222" s="109">
        <f t="shared" si="53"/>
        <v>18.999473696597182</v>
      </c>
      <c r="E222" s="110">
        <f t="shared" si="54"/>
        <v>6.3325245830758403</v>
      </c>
      <c r="F222" s="110">
        <f t="shared" si="56"/>
        <v>4.8353660557839833</v>
      </c>
      <c r="G222" s="110">
        <f t="shared" si="56"/>
        <v>0.93287415850292155</v>
      </c>
      <c r="H222" s="110">
        <f t="shared" si="56"/>
        <v>3.7998947393194367E-3</v>
      </c>
      <c r="I222" s="110">
        <f t="shared" si="56"/>
        <v>4.689070108320184</v>
      </c>
      <c r="J222" s="110">
        <f t="shared" si="56"/>
        <v>2.2058388961749329</v>
      </c>
      <c r="K222" s="275">
        <f t="shared" si="55"/>
        <v>46429.014548611245</v>
      </c>
    </row>
    <row r="223" spans="2:11" x14ac:dyDescent="0.2">
      <c r="B223" s="108">
        <f t="shared" si="52"/>
        <v>6908960</v>
      </c>
      <c r="C223" s="5">
        <v>184</v>
      </c>
      <c r="D223" s="109">
        <f t="shared" si="53"/>
        <v>18.6844624227076</v>
      </c>
      <c r="E223" s="110">
        <f t="shared" si="54"/>
        <v>6.2275313254884432</v>
      </c>
      <c r="F223" s="110">
        <f t="shared" si="56"/>
        <v>4.7551956865790848</v>
      </c>
      <c r="G223" s="110">
        <f t="shared" si="56"/>
        <v>0.91740710495494315</v>
      </c>
      <c r="H223" s="110">
        <f t="shared" si="56"/>
        <v>3.7368924845415201E-3</v>
      </c>
      <c r="I223" s="110">
        <f t="shared" si="56"/>
        <v>4.6113253259242359</v>
      </c>
      <c r="J223" s="110">
        <f t="shared" si="56"/>
        <v>2.1692660872763523</v>
      </c>
      <c r="K223" s="275">
        <f t="shared" si="55"/>
        <v>46440.36524305569</v>
      </c>
    </row>
    <row r="224" spans="2:11" x14ac:dyDescent="0.2">
      <c r="B224" s="108">
        <f t="shared" si="52"/>
        <v>6941650</v>
      </c>
      <c r="C224" s="5">
        <v>185</v>
      </c>
      <c r="D224" s="109">
        <f t="shared" si="53"/>
        <v>18.374674035739108</v>
      </c>
      <c r="E224" s="110">
        <f t="shared" si="54"/>
        <v>6.1242788561118449</v>
      </c>
      <c r="F224" s="110">
        <f t="shared" si="56"/>
        <v>4.676354542095603</v>
      </c>
      <c r="G224" s="110">
        <f t="shared" si="56"/>
        <v>0.90219649515479017</v>
      </c>
      <c r="H224" s="110">
        <f t="shared" si="56"/>
        <v>3.674934807147822E-3</v>
      </c>
      <c r="I224" s="110">
        <f t="shared" si="56"/>
        <v>4.5348695520204121</v>
      </c>
      <c r="J224" s="110">
        <f t="shared" si="56"/>
        <v>2.1332996555493104</v>
      </c>
      <c r="K224" s="275">
        <f t="shared" si="55"/>
        <v>46451.715937500136</v>
      </c>
    </row>
    <row r="225" spans="2:11" x14ac:dyDescent="0.2">
      <c r="B225" s="108">
        <f t="shared" si="52"/>
        <v>6974340</v>
      </c>
      <c r="C225" s="5">
        <v>186</v>
      </c>
      <c r="D225" s="109">
        <f t="shared" si="53"/>
        <v>18.070021940226553</v>
      </c>
      <c r="E225" s="110">
        <f t="shared" si="54"/>
        <v>6.02273831267751</v>
      </c>
      <c r="F225" s="110">
        <f t="shared" si="56"/>
        <v>4.5988205837876581</v>
      </c>
      <c r="G225" s="110">
        <f t="shared" si="56"/>
        <v>0.88723807726512371</v>
      </c>
      <c r="H225" s="110">
        <f t="shared" si="56"/>
        <v>3.6140043880453108E-3</v>
      </c>
      <c r="I225" s="110">
        <f t="shared" si="56"/>
        <v>4.4596814148479131</v>
      </c>
      <c r="J225" s="110">
        <f t="shared" si="56"/>
        <v>2.0979295472603026</v>
      </c>
      <c r="K225" s="275">
        <f t="shared" si="55"/>
        <v>46463.066631944581</v>
      </c>
    </row>
    <row r="226" spans="2:11" x14ac:dyDescent="0.2">
      <c r="B226" s="108">
        <f t="shared" si="52"/>
        <v>7007030</v>
      </c>
      <c r="C226" s="5">
        <v>187</v>
      </c>
      <c r="D226" s="109">
        <f t="shared" si="53"/>
        <v>17.770420976457597</v>
      </c>
      <c r="E226" s="110">
        <f t="shared" si="54"/>
        <v>5.9228813114533168</v>
      </c>
      <c r="F226" s="110">
        <f t="shared" si="56"/>
        <v>4.5225721385084583</v>
      </c>
      <c r="G226" s="110">
        <f t="shared" si="56"/>
        <v>0.87252766994406794</v>
      </c>
      <c r="H226" s="110">
        <f t="shared" si="56"/>
        <v>3.5540841952915194E-3</v>
      </c>
      <c r="I226" s="110">
        <f t="shared" si="56"/>
        <v>4.385739896989735</v>
      </c>
      <c r="J226" s="110">
        <f t="shared" si="56"/>
        <v>2.0631458753667271</v>
      </c>
      <c r="K226" s="275">
        <f t="shared" si="55"/>
        <v>46474.417326389026</v>
      </c>
    </row>
    <row r="227" spans="2:11" x14ac:dyDescent="0.2">
      <c r="B227" s="108">
        <f t="shared" si="52"/>
        <v>7039720</v>
      </c>
      <c r="C227" s="5">
        <v>188</v>
      </c>
      <c r="D227" s="109">
        <f t="shared" si="53"/>
        <v>17.475787396667929</v>
      </c>
      <c r="E227" s="110">
        <f t="shared" si="54"/>
        <v>5.8246799393094202</v>
      </c>
      <c r="F227" s="110">
        <f t="shared" si="56"/>
        <v>4.4475878924519883</v>
      </c>
      <c r="G227" s="110">
        <f t="shared" si="56"/>
        <v>0.8580611611763953</v>
      </c>
      <c r="H227" s="110">
        <f t="shared" si="56"/>
        <v>3.4951574793335859E-3</v>
      </c>
      <c r="I227" s="110">
        <f t="shared" si="56"/>
        <v>4.3130243294976447</v>
      </c>
      <c r="J227" s="110">
        <f t="shared" si="56"/>
        <v>2.0289389167531464</v>
      </c>
      <c r="K227" s="275">
        <f t="shared" si="55"/>
        <v>46485.768020833471</v>
      </c>
    </row>
    <row r="228" spans="2:11" x14ac:dyDescent="0.2">
      <c r="B228" s="108">
        <f t="shared" si="52"/>
        <v>7072410</v>
      </c>
      <c r="C228" s="5">
        <v>189</v>
      </c>
      <c r="D228" s="109">
        <f t="shared" si="53"/>
        <v>17.186038841631174</v>
      </c>
      <c r="E228" s="110">
        <f t="shared" si="54"/>
        <v>5.72810674591567</v>
      </c>
      <c r="F228" s="110">
        <f t="shared" si="56"/>
        <v>4.3738468851951335</v>
      </c>
      <c r="G228" s="110">
        <f t="shared" si="56"/>
        <v>0.84383450712409058</v>
      </c>
      <c r="H228" s="110">
        <f t="shared" si="56"/>
        <v>3.4372077683262349E-3</v>
      </c>
      <c r="I228" s="110">
        <f t="shared" si="56"/>
        <v>4.2415143861145737</v>
      </c>
      <c r="J228" s="110">
        <f t="shared" si="56"/>
        <v>1.9952991095133792</v>
      </c>
      <c r="K228" s="275">
        <f t="shared" si="55"/>
        <v>46497.118715277917</v>
      </c>
    </row>
    <row r="229" spans="2:11" x14ac:dyDescent="0.2">
      <c r="B229" s="108">
        <f t="shared" si="52"/>
        <v>7105100</v>
      </c>
      <c r="C229" s="5">
        <v>190</v>
      </c>
      <c r="D229" s="109">
        <f t="shared" si="53"/>
        <v>16.901094317636929</v>
      </c>
      <c r="E229" s="110">
        <f t="shared" si="54"/>
        <v>5.6331347360683885</v>
      </c>
      <c r="F229" s="110">
        <f t="shared" si="56"/>
        <v>4.3013285038385982</v>
      </c>
      <c r="G229" s="110">
        <f t="shared" si="56"/>
        <v>0.82984373099597319</v>
      </c>
      <c r="H229" s="110">
        <f t="shared" si="56"/>
        <v>3.3802188635273858E-3</v>
      </c>
      <c r="I229" s="110">
        <f t="shared" si="56"/>
        <v>4.1711900775927937</v>
      </c>
      <c r="J229" s="110">
        <f t="shared" si="56"/>
        <v>1.9622170502776473</v>
      </c>
      <c r="K229" s="275">
        <f t="shared" si="55"/>
        <v>46508.469409722362</v>
      </c>
    </row>
    <row r="230" spans="2:11" x14ac:dyDescent="0.2">
      <c r="B230" s="108">
        <f t="shared" si="52"/>
        <v>7137790</v>
      </c>
      <c r="C230" s="5">
        <v>191</v>
      </c>
      <c r="D230" s="109">
        <f t="shared" si="53"/>
        <v>16.620874173850506</v>
      </c>
      <c r="E230" s="110">
        <f t="shared" si="54"/>
        <v>5.5397373621443737</v>
      </c>
      <c r="F230" s="110">
        <f t="shared" si="56"/>
        <v>4.2300124772449541</v>
      </c>
      <c r="G230" s="110">
        <f t="shared" si="56"/>
        <v>0.81608492193605986</v>
      </c>
      <c r="H230" s="110">
        <f t="shared" si="56"/>
        <v>3.3241748347701012E-3</v>
      </c>
      <c r="I230" s="110">
        <f t="shared" si="56"/>
        <v>4.1020317461063049</v>
      </c>
      <c r="J230" s="110">
        <f t="shared" si="56"/>
        <v>1.9296834915840437</v>
      </c>
      <c r="K230" s="275">
        <f t="shared" si="55"/>
        <v>46519.820104166807</v>
      </c>
    </row>
    <row r="231" spans="2:11" x14ac:dyDescent="0.2">
      <c r="B231" s="108">
        <f t="shared" si="52"/>
        <v>7170480</v>
      </c>
      <c r="C231" s="5">
        <v>192</v>
      </c>
      <c r="D231" s="109">
        <f t="shared" si="53"/>
        <v>16.345300080048062</v>
      </c>
      <c r="E231" s="110">
        <f t="shared" si="54"/>
        <v>5.4478885166800186</v>
      </c>
      <c r="F231" s="110">
        <f t="shared" si="56"/>
        <v>4.159878870372232</v>
      </c>
      <c r="G231" s="110">
        <f t="shared" si="56"/>
        <v>0.80255423393035985</v>
      </c>
      <c r="H231" s="110">
        <f t="shared" si="56"/>
        <v>3.2690600160096128E-3</v>
      </c>
      <c r="I231" s="110">
        <f t="shared" si="56"/>
        <v>4.0340200597558615</v>
      </c>
      <c r="J231" s="110">
        <f t="shared" si="56"/>
        <v>1.8976893392935799</v>
      </c>
      <c r="K231" s="275">
        <f t="shared" si="55"/>
        <v>46531.170798611252</v>
      </c>
    </row>
    <row r="232" spans="2:11" x14ac:dyDescent="0.2">
      <c r="B232" s="108">
        <f t="shared" ref="B232:B295" si="57">B231+$B$22</f>
        <v>7203170</v>
      </c>
      <c r="C232" s="5">
        <v>193</v>
      </c>
      <c r="D232" s="109">
        <f t="shared" ref="D232:D295" si="58">D231*(1-$C$22)</f>
        <v>16.074295004720867</v>
      </c>
      <c r="E232" s="110">
        <f t="shared" si="54"/>
        <v>5.3575625250734644</v>
      </c>
      <c r="F232" s="110">
        <f t="shared" si="56"/>
        <v>4.0909080787014602</v>
      </c>
      <c r="G232" s="110">
        <f t="shared" si="56"/>
        <v>0.78924788473179452</v>
      </c>
      <c r="H232" s="110">
        <f t="shared" si="56"/>
        <v>3.2148590009441736E-3</v>
      </c>
      <c r="I232" s="110">
        <f t="shared" si="56"/>
        <v>3.9671360071651098</v>
      </c>
      <c r="J232" s="110">
        <f t="shared" si="56"/>
        <v>1.8662256500480925</v>
      </c>
      <c r="K232" s="275">
        <f t="shared" si="55"/>
        <v>46542.521493055698</v>
      </c>
    </row>
    <row r="233" spans="2:11" x14ac:dyDescent="0.2">
      <c r="B233" s="108">
        <f t="shared" si="57"/>
        <v>7235860</v>
      </c>
      <c r="C233" s="5">
        <v>194</v>
      </c>
      <c r="D233" s="109">
        <f t="shared" si="58"/>
        <v>15.807783193542594</v>
      </c>
      <c r="E233" s="110">
        <f t="shared" si="54"/>
        <v>5.268734138407746</v>
      </c>
      <c r="F233" s="110">
        <f t="shared" si="56"/>
        <v>4.0230808227565902</v>
      </c>
      <c r="G233" s="110">
        <f t="shared" si="56"/>
        <v>0.77616215480294137</v>
      </c>
      <c r="H233" s="110">
        <f t="shared" si="56"/>
        <v>3.1615566387085191E-3</v>
      </c>
      <c r="I233" s="110">
        <f t="shared" si="56"/>
        <v>3.9013608921663119</v>
      </c>
      <c r="J233" s="110">
        <f t="shared" si="56"/>
        <v>1.8352836287702952</v>
      </c>
      <c r="K233" s="275">
        <f t="shared" si="55"/>
        <v>46553.872187500143</v>
      </c>
    </row>
    <row r="234" spans="2:11" x14ac:dyDescent="0.2">
      <c r="B234" s="108">
        <f t="shared" si="57"/>
        <v>7268550</v>
      </c>
      <c r="C234" s="5">
        <v>195</v>
      </c>
      <c r="D234" s="109">
        <f t="shared" si="58"/>
        <v>15.545690148193657</v>
      </c>
      <c r="E234" s="110">
        <f t="shared" si="54"/>
        <v>5.1813785263929457</v>
      </c>
      <c r="F234" s="110">
        <f t="shared" si="56"/>
        <v>3.9563781427152858</v>
      </c>
      <c r="G234" s="110">
        <f t="shared" si="56"/>
        <v>0.76329338627630849</v>
      </c>
      <c r="H234" s="110">
        <f t="shared" si="56"/>
        <v>3.1091380296387316E-3</v>
      </c>
      <c r="I234" s="110">
        <f t="shared" si="56"/>
        <v>3.8366763285741943</v>
      </c>
      <c r="J234" s="110">
        <f t="shared" si="56"/>
        <v>1.8048546262052836</v>
      </c>
      <c r="K234" s="275">
        <f t="shared" si="55"/>
        <v>46565.222881944588</v>
      </c>
    </row>
    <row r="235" spans="2:11" x14ac:dyDescent="0.2">
      <c r="B235" s="108">
        <f t="shared" si="57"/>
        <v>7301240</v>
      </c>
      <c r="C235" s="5">
        <v>196</v>
      </c>
      <c r="D235" s="109">
        <f t="shared" si="58"/>
        <v>15.287942605536605</v>
      </c>
      <c r="E235" s="110">
        <f t="shared" si="54"/>
        <v>5.0954712704253504</v>
      </c>
      <c r="F235" s="110">
        <f t="shared" si="56"/>
        <v>3.8907813931090662</v>
      </c>
      <c r="G235" s="110">
        <f t="shared" si="56"/>
        <v>0.75063798193184728</v>
      </c>
      <c r="H235" s="110">
        <f t="shared" si="56"/>
        <v>3.0575885211073213E-3</v>
      </c>
      <c r="I235" s="110">
        <f t="shared" si="56"/>
        <v>3.7730642350464341</v>
      </c>
      <c r="J235" s="110">
        <f t="shared" si="56"/>
        <v>1.7749301365027998</v>
      </c>
      <c r="K235" s="275">
        <f t="shared" si="55"/>
        <v>46576.573576389033</v>
      </c>
    </row>
    <row r="236" spans="2:11" x14ac:dyDescent="0.2">
      <c r="B236" s="108">
        <f t="shared" si="57"/>
        <v>7333930</v>
      </c>
      <c r="C236" s="5">
        <v>197</v>
      </c>
      <c r="D236" s="109">
        <f t="shared" si="58"/>
        <v>15.034468517136807</v>
      </c>
      <c r="E236" s="110">
        <f t="shared" ref="E236:E299" si="59">D236*E$37</f>
        <v>5.0109883567616977</v>
      </c>
      <c r="F236" s="110">
        <f t="shared" si="56"/>
        <v>3.8262722376113172</v>
      </c>
      <c r="G236" s="110">
        <f t="shared" si="56"/>
        <v>0.73819240419141718</v>
      </c>
      <c r="H236" s="110">
        <f t="shared" si="56"/>
        <v>3.0068937034273616E-3</v>
      </c>
      <c r="I236" s="110">
        <f t="shared" si="56"/>
        <v>3.7105068300293635</v>
      </c>
      <c r="J236" s="110">
        <f t="shared" si="56"/>
        <v>1.7455017948395832</v>
      </c>
      <c r="K236" s="275">
        <f t="shared" si="55"/>
        <v>46587.924270833479</v>
      </c>
    </row>
    <row r="237" spans="2:11" x14ac:dyDescent="0.2">
      <c r="B237" s="108">
        <f t="shared" si="57"/>
        <v>7366620</v>
      </c>
      <c r="C237" s="5">
        <v>198</v>
      </c>
      <c r="D237" s="109">
        <f t="shared" si="58"/>
        <v>14.785197029122678</v>
      </c>
      <c r="E237" s="110">
        <f t="shared" si="59"/>
        <v>4.9279061698065885</v>
      </c>
      <c r="F237" s="110">
        <f t="shared" si="56"/>
        <v>3.7628326439117217</v>
      </c>
      <c r="G237" s="110">
        <f t="shared" si="56"/>
        <v>0.72595317412992344</v>
      </c>
      <c r="H237" s="110">
        <f t="shared" si="56"/>
        <v>2.9570394058245357E-3</v>
      </c>
      <c r="I237" s="110">
        <f t="shared" si="56"/>
        <v>3.6489866267874769</v>
      </c>
      <c r="J237" s="110">
        <f t="shared" si="56"/>
        <v>1.7165613750811428</v>
      </c>
      <c r="K237" s="275">
        <f t="shared" si="55"/>
        <v>46599.274965277924</v>
      </c>
    </row>
    <row r="238" spans="2:11" x14ac:dyDescent="0.2">
      <c r="B238" s="108">
        <f t="shared" si="57"/>
        <v>7399310</v>
      </c>
      <c r="C238" s="5">
        <v>199</v>
      </c>
      <c r="D238" s="109">
        <f t="shared" si="58"/>
        <v>14.540058462379823</v>
      </c>
      <c r="E238" s="110">
        <f t="shared" si="59"/>
        <v>4.8462014855111946</v>
      </c>
      <c r="F238" s="110">
        <f t="shared" ref="F238:J280" si="60">$D238*F$37</f>
        <v>3.7004448786756652</v>
      </c>
      <c r="G238" s="110">
        <f t="shared" si="60"/>
        <v>0.71391687050284935</v>
      </c>
      <c r="H238" s="110">
        <f t="shared" si="60"/>
        <v>2.9080116924759649E-3</v>
      </c>
      <c r="I238" s="110">
        <f t="shared" si="60"/>
        <v>3.5884864285153402</v>
      </c>
      <c r="J238" s="110">
        <f t="shared" si="60"/>
        <v>1.6881007874822975</v>
      </c>
      <c r="K238" s="275">
        <f t="shared" si="55"/>
        <v>46610.625659722369</v>
      </c>
    </row>
    <row r="239" spans="2:11" x14ac:dyDescent="0.2">
      <c r="B239" s="108">
        <f t="shared" si="57"/>
        <v>7432000</v>
      </c>
      <c r="C239" s="5">
        <v>200</v>
      </c>
      <c r="D239" s="109">
        <f t="shared" si="58"/>
        <v>14.298984293073566</v>
      </c>
      <c r="E239" s="110">
        <f t="shared" si="59"/>
        <v>4.7658514648814192</v>
      </c>
      <c r="F239" s="110">
        <f t="shared" si="60"/>
        <v>3.6390915025872226</v>
      </c>
      <c r="G239" s="110">
        <f t="shared" si="60"/>
        <v>0.70208012878991211</v>
      </c>
      <c r="H239" s="110">
        <f t="shared" si="60"/>
        <v>2.8597968586147136E-3</v>
      </c>
      <c r="I239" s="110">
        <f t="shared" si="60"/>
        <v>3.5289893235305558</v>
      </c>
      <c r="J239" s="110">
        <f t="shared" si="60"/>
        <v>1.660112076425841</v>
      </c>
      <c r="K239" s="275">
        <f t="shared" si="55"/>
        <v>46621.976354166814</v>
      </c>
    </row>
    <row r="240" spans="2:11" x14ac:dyDescent="0.2">
      <c r="B240" s="108">
        <f t="shared" si="57"/>
        <v>7464690</v>
      </c>
      <c r="C240" s="5">
        <v>201</v>
      </c>
      <c r="D240" s="109">
        <f t="shared" si="58"/>
        <v>14.061907133494406</v>
      </c>
      <c r="E240" s="110">
        <f t="shared" si="59"/>
        <v>4.6868336475936854</v>
      </c>
      <c r="F240" s="110">
        <f t="shared" si="60"/>
        <v>3.5787553654743265</v>
      </c>
      <c r="G240" s="110">
        <f t="shared" si="60"/>
        <v>0.69043964025457527</v>
      </c>
      <c r="H240" s="110">
        <f t="shared" si="60"/>
        <v>2.8123814266988816E-3</v>
      </c>
      <c r="I240" s="110">
        <f t="shared" si="60"/>
        <v>3.4704786805464192</v>
      </c>
      <c r="J240" s="110">
        <f t="shared" si="60"/>
        <v>1.6325874181987006</v>
      </c>
      <c r="K240" s="275">
        <f t="shared" si="55"/>
        <v>46633.32704861126</v>
      </c>
    </row>
    <row r="241" spans="2:11" x14ac:dyDescent="0.2">
      <c r="B241" s="108">
        <f t="shared" si="57"/>
        <v>7497380</v>
      </c>
      <c r="C241" s="5">
        <v>202</v>
      </c>
      <c r="D241" s="109">
        <f t="shared" si="58"/>
        <v>13.828760713221069</v>
      </c>
      <c r="E241" s="110">
        <f t="shared" si="59"/>
        <v>4.6091259457165821</v>
      </c>
      <c r="F241" s="110">
        <f t="shared" si="60"/>
        <v>3.5194196015147621</v>
      </c>
      <c r="G241" s="110">
        <f t="shared" si="60"/>
        <v>0.67899215101915444</v>
      </c>
      <c r="H241" s="110">
        <f t="shared" si="60"/>
        <v>2.7657521426442139E-3</v>
      </c>
      <c r="I241" s="110">
        <f t="shared" si="60"/>
        <v>3.4129381440229598</v>
      </c>
      <c r="J241" s="110">
        <f t="shared" si="60"/>
        <v>1.605519118804966</v>
      </c>
      <c r="K241" s="275">
        <f t="shared" si="55"/>
        <v>46644.677743055705</v>
      </c>
    </row>
    <row r="242" spans="2:11" x14ac:dyDescent="0.2">
      <c r="B242" s="108">
        <f t="shared" si="57"/>
        <v>7530070</v>
      </c>
      <c r="C242" s="5">
        <v>203</v>
      </c>
      <c r="D242" s="109">
        <f t="shared" si="58"/>
        <v>13.599479860595864</v>
      </c>
      <c r="E242" s="110">
        <f t="shared" si="59"/>
        <v>4.5327066375366014</v>
      </c>
      <c r="F242" s="110">
        <f t="shared" si="60"/>
        <v>3.4610676245216472</v>
      </c>
      <c r="G242" s="110">
        <f t="shared" si="60"/>
        <v>0.66773446115525692</v>
      </c>
      <c r="H242" s="110">
        <f t="shared" si="60"/>
        <v>2.7198959721191729E-3</v>
      </c>
      <c r="I242" s="110">
        <f t="shared" si="60"/>
        <v>3.3563516295950588</v>
      </c>
      <c r="J242" s="110">
        <f t="shared" si="60"/>
        <v>1.5788996118151797</v>
      </c>
      <c r="K242" s="275">
        <f t="shared" si="55"/>
        <v>46656.02843750015</v>
      </c>
    </row>
    <row r="243" spans="2:11" x14ac:dyDescent="0.2">
      <c r="B243" s="108">
        <f t="shared" si="57"/>
        <v>7562760</v>
      </c>
      <c r="C243" s="5">
        <v>204</v>
      </c>
      <c r="D243" s="109">
        <f t="shared" si="58"/>
        <v>13.374000484507183</v>
      </c>
      <c r="E243" s="110">
        <f t="shared" si="59"/>
        <v>4.4575543614862436</v>
      </c>
      <c r="F243" s="110">
        <f t="shared" si="60"/>
        <v>3.4036831233070783</v>
      </c>
      <c r="G243" s="110">
        <f t="shared" si="60"/>
        <v>0.65666342378930265</v>
      </c>
      <c r="H243" s="110">
        <f t="shared" si="60"/>
        <v>2.6748000969014367E-3</v>
      </c>
      <c r="I243" s="110">
        <f t="shared" si="60"/>
        <v>3.3007033195763729</v>
      </c>
      <c r="J243" s="110">
        <f t="shared" si="60"/>
        <v>1.5527214562512839</v>
      </c>
      <c r="K243" s="275">
        <f t="shared" si="55"/>
        <v>46667.379131944595</v>
      </c>
    </row>
    <row r="244" spans="2:11" x14ac:dyDescent="0.2">
      <c r="B244" s="108">
        <f t="shared" si="57"/>
        <v>7595450</v>
      </c>
      <c r="C244" s="5">
        <v>205</v>
      </c>
      <c r="D244" s="109">
        <f t="shared" si="58"/>
        <v>13.152259556474053</v>
      </c>
      <c r="E244" s="110">
        <f t="shared" si="59"/>
        <v>4.3836481101728015</v>
      </c>
      <c r="F244" s="110">
        <f t="shared" si="60"/>
        <v>3.3472500571226464</v>
      </c>
      <c r="G244" s="110">
        <f t="shared" si="60"/>
        <v>0.64577594422287599</v>
      </c>
      <c r="H244" s="110">
        <f t="shared" si="60"/>
        <v>2.6304519112948107E-3</v>
      </c>
      <c r="I244" s="110">
        <f t="shared" si="60"/>
        <v>3.2459776585377962</v>
      </c>
      <c r="J244" s="110">
        <f t="shared" si="60"/>
        <v>1.5269773345066375</v>
      </c>
      <c r="K244" s="275">
        <f t="shared" si="55"/>
        <v>46678.729826389041</v>
      </c>
    </row>
    <row r="245" spans="2:11" x14ac:dyDescent="0.2">
      <c r="B245" s="108">
        <f t="shared" si="57"/>
        <v>7628140</v>
      </c>
      <c r="C245" s="5">
        <v>206</v>
      </c>
      <c r="D245" s="109">
        <f t="shared" si="58"/>
        <v>12.934195093027713</v>
      </c>
      <c r="E245" s="110">
        <f t="shared" si="59"/>
        <v>4.3109672245061361</v>
      </c>
      <c r="F245" s="110">
        <f t="shared" si="60"/>
        <v>3.2917526511755528</v>
      </c>
      <c r="G245" s="110">
        <f t="shared" si="60"/>
        <v>0.63506897906766069</v>
      </c>
      <c r="H245" s="110">
        <f t="shared" si="60"/>
        <v>2.5868390186055425E-3</v>
      </c>
      <c r="I245" s="110">
        <f t="shared" si="60"/>
        <v>3.1921593489592395</v>
      </c>
      <c r="J245" s="110">
        <f t="shared" si="60"/>
        <v>1.5016600503005173</v>
      </c>
      <c r="K245" s="275">
        <f t="shared" si="55"/>
        <v>46690.080520833486</v>
      </c>
    </row>
    <row r="246" spans="2:11" x14ac:dyDescent="0.2">
      <c r="B246" s="108">
        <f t="shared" si="57"/>
        <v>7660830</v>
      </c>
      <c r="C246" s="5">
        <v>207</v>
      </c>
      <c r="D246" s="109">
        <f t="shared" si="58"/>
        <v>12.719746138385313</v>
      </c>
      <c r="E246" s="110">
        <f t="shared" si="59"/>
        <v>4.2394913879238247</v>
      </c>
      <c r="F246" s="110">
        <f t="shared" si="60"/>
        <v>3.2371753922190623</v>
      </c>
      <c r="G246" s="110">
        <f t="shared" si="60"/>
        <v>0.62453953539471885</v>
      </c>
      <c r="H246" s="110">
        <f t="shared" si="60"/>
        <v>2.5439492276770627E-3</v>
      </c>
      <c r="I246" s="110">
        <f t="shared" si="60"/>
        <v>3.1392333469534952</v>
      </c>
      <c r="J246" s="110">
        <f t="shared" si="60"/>
        <v>1.4767625266665347</v>
      </c>
      <c r="K246" s="275">
        <f t="shared" si="55"/>
        <v>46701.431215277931</v>
      </c>
    </row>
    <row r="247" spans="2:11" x14ac:dyDescent="0.2">
      <c r="B247" s="108">
        <f t="shared" si="57"/>
        <v>7693520</v>
      </c>
      <c r="C247" s="5">
        <v>208</v>
      </c>
      <c r="D247" s="109">
        <f t="shared" si="58"/>
        <v>12.508852747410884</v>
      </c>
      <c r="E247" s="110">
        <f t="shared" si="59"/>
        <v>4.169200620712048</v>
      </c>
      <c r="F247" s="110">
        <f t="shared" si="60"/>
        <v>3.18350302421607</v>
      </c>
      <c r="G247" s="110">
        <f t="shared" si="60"/>
        <v>0.61418466989787435</v>
      </c>
      <c r="H247" s="110">
        <f t="shared" si="60"/>
        <v>2.5017705494821772E-3</v>
      </c>
      <c r="I247" s="110">
        <f t="shared" si="60"/>
        <v>3.087184858061006</v>
      </c>
      <c r="J247" s="110">
        <f t="shared" si="60"/>
        <v>1.4522778039744035</v>
      </c>
      <c r="K247" s="275">
        <f t="shared" si="55"/>
        <v>46712.781909722376</v>
      </c>
    </row>
    <row r="248" spans="2:11" x14ac:dyDescent="0.2">
      <c r="B248" s="108">
        <f t="shared" si="57"/>
        <v>7726210</v>
      </c>
      <c r="C248" s="5">
        <v>209</v>
      </c>
      <c r="D248" s="109">
        <f t="shared" si="58"/>
        <v>12.301455968858811</v>
      </c>
      <c r="E248" s="110">
        <f t="shared" si="59"/>
        <v>4.1000752744206412</v>
      </c>
      <c r="F248" s="110">
        <f t="shared" si="60"/>
        <v>3.1307205440745673</v>
      </c>
      <c r="G248" s="110">
        <f t="shared" si="60"/>
        <v>0.60400148807096754</v>
      </c>
      <c r="H248" s="110">
        <f t="shared" si="60"/>
        <v>2.4602911937717624E-3</v>
      </c>
      <c r="I248" s="110">
        <f t="shared" si="60"/>
        <v>3.0359993331143542</v>
      </c>
      <c r="J248" s="110">
        <f t="shared" si="60"/>
        <v>1.4281990379845078</v>
      </c>
      <c r="K248" s="275">
        <f t="shared" si="55"/>
        <v>46724.132604166822</v>
      </c>
    </row>
    <row r="249" spans="2:11" x14ac:dyDescent="0.2">
      <c r="B249" s="108">
        <f t="shared" si="57"/>
        <v>7758900</v>
      </c>
      <c r="C249" s="5">
        <v>210</v>
      </c>
      <c r="D249" s="109">
        <f t="shared" si="58"/>
        <v>12.097497828895131</v>
      </c>
      <c r="E249" s="110">
        <f t="shared" si="59"/>
        <v>4.0320960263707466</v>
      </c>
      <c r="F249" s="110">
        <f t="shared" si="60"/>
        <v>3.0788131974538109</v>
      </c>
      <c r="G249" s="110">
        <f t="shared" si="60"/>
        <v>0.59398714339875092</v>
      </c>
      <c r="H249" s="110">
        <f t="shared" si="60"/>
        <v>2.4194995657790264E-3</v>
      </c>
      <c r="I249" s="110">
        <f t="shared" si="60"/>
        <v>2.9856624641713183</v>
      </c>
      <c r="J249" s="110">
        <f t="shared" si="60"/>
        <v>1.4045194979347246</v>
      </c>
      <c r="K249" s="275">
        <f t="shared" si="55"/>
        <v>46735.483298611267</v>
      </c>
    </row>
    <row r="250" spans="2:11" x14ac:dyDescent="0.2">
      <c r="B250" s="108">
        <f t="shared" si="57"/>
        <v>7791590</v>
      </c>
      <c r="C250" s="5">
        <v>211</v>
      </c>
      <c r="D250" s="109">
        <f t="shared" si="58"/>
        <v>11.896921314892049</v>
      </c>
      <c r="E250" s="110">
        <f t="shared" si="59"/>
        <v>3.9652438742535199</v>
      </c>
      <c r="F250" s="110">
        <f t="shared" si="60"/>
        <v>3.0277664746400266</v>
      </c>
      <c r="G250" s="110">
        <f t="shared" si="60"/>
        <v>0.58413883656119958</v>
      </c>
      <c r="H250" s="110">
        <f t="shared" si="60"/>
        <v>2.3793842629784099E-3</v>
      </c>
      <c r="I250" s="110">
        <f t="shared" si="60"/>
        <v>2.9361601805153574</v>
      </c>
      <c r="J250" s="110">
        <f t="shared" si="60"/>
        <v>1.3812325646589669</v>
      </c>
      <c r="K250" s="275">
        <f t="shared" ref="K250:K313" si="61">K249+($D$22/24/60/60)*$B$22</f>
        <v>46746.833993055712</v>
      </c>
    </row>
    <row r="251" spans="2:11" x14ac:dyDescent="0.2">
      <c r="B251" s="108">
        <f t="shared" si="57"/>
        <v>7824280</v>
      </c>
      <c r="C251" s="5">
        <v>212</v>
      </c>
      <c r="D251" s="109">
        <f t="shared" si="58"/>
        <v>11.699670359491138</v>
      </c>
      <c r="E251" s="110">
        <f t="shared" si="59"/>
        <v>3.8995001308183963</v>
      </c>
      <c r="F251" s="110">
        <f t="shared" si="60"/>
        <v>2.9775661064904946</v>
      </c>
      <c r="G251" s="110">
        <f t="shared" si="60"/>
        <v>0.57445381465101486</v>
      </c>
      <c r="H251" s="110">
        <f t="shared" si="60"/>
        <v>2.3399340718982279E-3</v>
      </c>
      <c r="I251" s="110">
        <f t="shared" si="60"/>
        <v>2.887478644722413</v>
      </c>
      <c r="J251" s="110">
        <f t="shared" si="60"/>
        <v>1.3583317287369212</v>
      </c>
      <c r="K251" s="275">
        <f t="shared" si="61"/>
        <v>46758.184687500157</v>
      </c>
    </row>
    <row r="252" spans="2:11" x14ac:dyDescent="0.2">
      <c r="B252" s="108">
        <f t="shared" si="57"/>
        <v>7856970</v>
      </c>
      <c r="C252" s="5">
        <v>213</v>
      </c>
      <c r="D252" s="109">
        <f t="shared" si="58"/>
        <v>11.505689824930775</v>
      </c>
      <c r="E252" s="110">
        <f t="shared" si="59"/>
        <v>3.8348464186494269</v>
      </c>
      <c r="F252" s="110">
        <f t="shared" si="60"/>
        <v>2.9281980604448821</v>
      </c>
      <c r="G252" s="110">
        <f t="shared" si="60"/>
        <v>0.56492937040410096</v>
      </c>
      <c r="H252" s="110">
        <f t="shared" si="60"/>
        <v>2.3011379649861552E-3</v>
      </c>
      <c r="I252" s="110">
        <f t="shared" si="60"/>
        <v>2.8396042487929152</v>
      </c>
      <c r="J252" s="110">
        <f t="shared" si="60"/>
        <v>1.3358105886744629</v>
      </c>
      <c r="K252" s="275">
        <f t="shared" si="61"/>
        <v>46769.535381944603</v>
      </c>
    </row>
    <row r="253" spans="2:11" x14ac:dyDescent="0.2">
      <c r="B253" s="108">
        <f t="shared" si="57"/>
        <v>7889660</v>
      </c>
      <c r="C253" s="5">
        <v>214</v>
      </c>
      <c r="D253" s="109">
        <f t="shared" si="58"/>
        <v>11.314925487633422</v>
      </c>
      <c r="E253" s="110">
        <f t="shared" si="59"/>
        <v>3.7712646650282196</v>
      </c>
      <c r="F253" s="110">
        <f t="shared" si="60"/>
        <v>2.8796485366027058</v>
      </c>
      <c r="G253" s="110">
        <f t="shared" si="60"/>
        <v>0.55556284144280099</v>
      </c>
      <c r="H253" s="110">
        <f t="shared" si="60"/>
        <v>2.2629850975266846E-3</v>
      </c>
      <c r="I253" s="110">
        <f t="shared" si="60"/>
        <v>2.7925236103479283</v>
      </c>
      <c r="J253" s="110">
        <f t="shared" si="60"/>
        <v>1.3136628491142404</v>
      </c>
      <c r="K253" s="275">
        <f t="shared" si="61"/>
        <v>46780.886076389048</v>
      </c>
    </row>
    <row r="254" spans="2:11" x14ac:dyDescent="0.2">
      <c r="B254" s="108">
        <f t="shared" si="57"/>
        <v>7922350</v>
      </c>
      <c r="C254" s="5">
        <v>215</v>
      </c>
      <c r="D254" s="109">
        <f t="shared" si="58"/>
        <v>11.127324023048459</v>
      </c>
      <c r="E254" s="110">
        <f t="shared" si="59"/>
        <v>3.708737096882051</v>
      </c>
      <c r="F254" s="110">
        <f t="shared" si="60"/>
        <v>2.831903963865833</v>
      </c>
      <c r="G254" s="110">
        <f t="shared" si="60"/>
        <v>0.54635160953167927</v>
      </c>
      <c r="H254" s="110">
        <f t="shared" si="60"/>
        <v>2.2254648046096917E-3</v>
      </c>
      <c r="I254" s="110">
        <f t="shared" si="60"/>
        <v>2.7462235688883596</v>
      </c>
      <c r="J254" s="110">
        <f t="shared" si="60"/>
        <v>1.2918823190759261</v>
      </c>
      <c r="K254" s="275">
        <f t="shared" si="61"/>
        <v>46792.236770833493</v>
      </c>
    </row>
    <row r="255" spans="2:11" x14ac:dyDescent="0.2">
      <c r="B255" s="108">
        <f t="shared" si="57"/>
        <v>7955040</v>
      </c>
      <c r="C255" s="5">
        <v>216</v>
      </c>
      <c r="D255" s="109">
        <f t="shared" si="58"/>
        <v>10.942832990746314</v>
      </c>
      <c r="E255" s="110">
        <f t="shared" si="59"/>
        <v>3.6472462358157465</v>
      </c>
      <c r="F255" s="110">
        <f t="shared" si="60"/>
        <v>2.784950996144937</v>
      </c>
      <c r="G255" s="110">
        <f t="shared" si="60"/>
        <v>0.537293099845644</v>
      </c>
      <c r="H255" s="110">
        <f t="shared" si="60"/>
        <v>2.1885665981492631E-3</v>
      </c>
      <c r="I255" s="110">
        <f t="shared" si="60"/>
        <v>2.7006911821161905</v>
      </c>
      <c r="J255" s="110">
        <f t="shared" si="60"/>
        <v>1.2704629102256471</v>
      </c>
      <c r="K255" s="275">
        <f t="shared" si="61"/>
        <v>46803.587465277938</v>
      </c>
    </row>
    <row r="256" spans="2:11" x14ac:dyDescent="0.2">
      <c r="B256" s="108">
        <f t="shared" si="57"/>
        <v>7987730</v>
      </c>
      <c r="C256" s="5">
        <v>217</v>
      </c>
      <c r="D256" s="109">
        <f t="shared" si="58"/>
        <v>10.761400819759739</v>
      </c>
      <c r="E256" s="110">
        <f t="shared" si="59"/>
        <v>3.5867748932259209</v>
      </c>
      <c r="F256" s="110">
        <f t="shared" si="60"/>
        <v>2.7387765086288538</v>
      </c>
      <c r="G256" s="110">
        <f t="shared" si="60"/>
        <v>0.52838478025020319</v>
      </c>
      <c r="H256" s="110">
        <f t="shared" si="60"/>
        <v>2.1522801639519478E-3</v>
      </c>
      <c r="I256" s="110">
        <f t="shared" si="60"/>
        <v>2.6559137223167038</v>
      </c>
      <c r="J256" s="110">
        <f t="shared" si="60"/>
        <v>1.2493986351741058</v>
      </c>
      <c r="K256" s="275">
        <f t="shared" si="61"/>
        <v>46814.938159722384</v>
      </c>
    </row>
    <row r="257" spans="2:11" x14ac:dyDescent="0.2">
      <c r="B257" s="108">
        <f t="shared" si="57"/>
        <v>8020420</v>
      </c>
      <c r="C257" s="5">
        <v>218</v>
      </c>
      <c r="D257" s="109">
        <f t="shared" si="58"/>
        <v>10.582976794168122</v>
      </c>
      <c r="E257" s="110">
        <f t="shared" si="59"/>
        <v>3.5273061654962348</v>
      </c>
      <c r="F257" s="110">
        <f t="shared" si="60"/>
        <v>2.6933675941157871</v>
      </c>
      <c r="G257" s="110">
        <f t="shared" si="60"/>
        <v>0.51962416059365479</v>
      </c>
      <c r="H257" s="110">
        <f t="shared" si="60"/>
        <v>2.1165953588336245E-3</v>
      </c>
      <c r="I257" s="110">
        <f t="shared" si="60"/>
        <v>2.6118786728006924</v>
      </c>
      <c r="J257" s="110">
        <f t="shared" si="60"/>
        <v>1.2286836058029189</v>
      </c>
      <c r="K257" s="275">
        <f t="shared" si="61"/>
        <v>46826.288854166829</v>
      </c>
    </row>
    <row r="258" spans="2:11" x14ac:dyDescent="0.2">
      <c r="B258" s="108">
        <f t="shared" si="57"/>
        <v>8053110</v>
      </c>
      <c r="C258" s="5">
        <v>219</v>
      </c>
      <c r="D258" s="109">
        <f t="shared" si="58"/>
        <v>10.407511038920815</v>
      </c>
      <c r="E258" s="110">
        <f t="shared" si="59"/>
        <v>3.4688234292723075</v>
      </c>
      <c r="F258" s="110">
        <f t="shared" si="60"/>
        <v>2.6487115594053474</v>
      </c>
      <c r="G258" s="110">
        <f t="shared" si="60"/>
        <v>0.51100879201101201</v>
      </c>
      <c r="H258" s="110">
        <f t="shared" si="60"/>
        <v>2.081502207784163E-3</v>
      </c>
      <c r="I258" s="110">
        <f t="shared" si="60"/>
        <v>2.568573724405657</v>
      </c>
      <c r="J258" s="110">
        <f t="shared" si="60"/>
        <v>1.2083120316187066</v>
      </c>
      <c r="K258" s="275">
        <f t="shared" si="61"/>
        <v>46837.639548611274</v>
      </c>
    </row>
    <row r="259" spans="2:11" x14ac:dyDescent="0.2">
      <c r="B259" s="108">
        <f t="shared" si="57"/>
        <v>8085800</v>
      </c>
      <c r="C259" s="5">
        <v>220</v>
      </c>
      <c r="D259" s="109">
        <f t="shared" si="58"/>
        <v>10.234954505895507</v>
      </c>
      <c r="E259" s="110">
        <f t="shared" si="59"/>
        <v>3.4113103368149722</v>
      </c>
      <c r="F259" s="110">
        <f t="shared" si="60"/>
        <v>2.6047959217504064</v>
      </c>
      <c r="G259" s="110">
        <f t="shared" si="60"/>
        <v>0.50253626623946934</v>
      </c>
      <c r="H259" s="110">
        <f t="shared" si="60"/>
        <v>2.0469909011791017E-3</v>
      </c>
      <c r="I259" s="110">
        <f t="shared" si="60"/>
        <v>2.5259867720550111</v>
      </c>
      <c r="J259" s="110">
        <f t="shared" si="60"/>
        <v>1.1882782181344682</v>
      </c>
      <c r="K259" s="275">
        <f t="shared" si="61"/>
        <v>46848.990243055719</v>
      </c>
    </row>
    <row r="260" spans="2:11" x14ac:dyDescent="0.2">
      <c r="B260" s="108">
        <f t="shared" si="57"/>
        <v>8118490</v>
      </c>
      <c r="C260" s="5">
        <v>221</v>
      </c>
      <c r="D260" s="109">
        <f t="shared" si="58"/>
        <v>10.065258960187759</v>
      </c>
      <c r="E260" s="110">
        <f t="shared" si="59"/>
        <v>3.3547508114305797</v>
      </c>
      <c r="F260" s="110">
        <f t="shared" si="60"/>
        <v>2.5616084053677848</v>
      </c>
      <c r="G260" s="110">
        <f t="shared" si="60"/>
        <v>0.49420421494521893</v>
      </c>
      <c r="H260" s="110">
        <f t="shared" si="60"/>
        <v>2.0130517920375519E-3</v>
      </c>
      <c r="I260" s="110">
        <f t="shared" si="60"/>
        <v>2.4841059113743387</v>
      </c>
      <c r="J260" s="110">
        <f t="shared" si="60"/>
        <v>1.1685765652777986</v>
      </c>
      <c r="K260" s="275">
        <f t="shared" si="61"/>
        <v>46860.340937500165</v>
      </c>
    </row>
    <row r="261" spans="2:11" x14ac:dyDescent="0.2">
      <c r="B261" s="108">
        <f t="shared" si="57"/>
        <v>8151180</v>
      </c>
      <c r="C261" s="5">
        <v>222</v>
      </c>
      <c r="D261" s="109">
        <f t="shared" si="58"/>
        <v>9.8983769666278452</v>
      </c>
      <c r="E261" s="110">
        <f t="shared" si="59"/>
        <v>3.2991290429770608</v>
      </c>
      <c r="F261" s="110">
        <f t="shared" si="60"/>
        <v>2.5191369380067865</v>
      </c>
      <c r="G261" s="110">
        <f t="shared" si="60"/>
        <v>0.48601030906142717</v>
      </c>
      <c r="H261" s="110">
        <f t="shared" si="60"/>
        <v>1.9796753933255689E-3</v>
      </c>
      <c r="I261" s="110">
        <f t="shared" si="60"/>
        <v>2.442919435363752</v>
      </c>
      <c r="J261" s="110">
        <f t="shared" si="60"/>
        <v>1.1492015658254928</v>
      </c>
      <c r="K261" s="275">
        <f t="shared" si="61"/>
        <v>46871.69163194461</v>
      </c>
    </row>
    <row r="262" spans="2:11" x14ac:dyDescent="0.2">
      <c r="B262" s="108">
        <f t="shared" si="57"/>
        <v>8183870</v>
      </c>
      <c r="C262" s="5">
        <v>223</v>
      </c>
      <c r="D262" s="109">
        <f t="shared" si="58"/>
        <v>9.7342618765211544</v>
      </c>
      <c r="E262" s="110">
        <f t="shared" si="59"/>
        <v>3.2444294834445007</v>
      </c>
      <c r="F262" s="110">
        <f t="shared" si="60"/>
        <v>2.4773696475746338</v>
      </c>
      <c r="G262" s="110">
        <f t="shared" si="60"/>
        <v>0.47795225813718867</v>
      </c>
      <c r="H262" s="110">
        <f t="shared" si="60"/>
        <v>1.9468523753042311E-3</v>
      </c>
      <c r="I262" s="110">
        <f t="shared" si="60"/>
        <v>2.4024158311254209</v>
      </c>
      <c r="J262" s="110">
        <f t="shared" si="60"/>
        <v>1.130147803864106</v>
      </c>
      <c r="K262" s="275">
        <f t="shared" si="61"/>
        <v>46883.042326389055</v>
      </c>
    </row>
    <row r="263" spans="2:11" x14ac:dyDescent="0.2">
      <c r="B263" s="108">
        <f t="shared" si="57"/>
        <v>8216560</v>
      </c>
      <c r="C263" s="5">
        <v>224</v>
      </c>
      <c r="D263" s="109">
        <f t="shared" si="58"/>
        <v>9.5728678146084327</v>
      </c>
      <c r="E263" s="110">
        <f t="shared" si="59"/>
        <v>3.1906368426089906</v>
      </c>
      <c r="F263" s="110">
        <f t="shared" si="60"/>
        <v>2.4362948588178464</v>
      </c>
      <c r="G263" s="110">
        <f t="shared" si="60"/>
        <v>0.47002780969727403</v>
      </c>
      <c r="H263" s="110">
        <f t="shared" si="60"/>
        <v>1.9145735629216866E-3</v>
      </c>
      <c r="I263" s="110">
        <f t="shared" si="60"/>
        <v>2.3625837766453612</v>
      </c>
      <c r="J263" s="110">
        <f t="shared" si="60"/>
        <v>1.1114099532760391</v>
      </c>
      <c r="K263" s="275">
        <f t="shared" si="61"/>
        <v>46894.3930208335</v>
      </c>
    </row>
    <row r="264" spans="2:11" x14ac:dyDescent="0.2">
      <c r="B264" s="108">
        <f t="shared" si="57"/>
        <v>8249250</v>
      </c>
      <c r="C264" s="5">
        <v>225</v>
      </c>
      <c r="D264" s="109">
        <f t="shared" si="58"/>
        <v>9.4141496662422242</v>
      </c>
      <c r="E264" s="110">
        <f t="shared" si="59"/>
        <v>3.1377360837585333</v>
      </c>
      <c r="F264" s="110">
        <f t="shared" si="60"/>
        <v>2.3959010900586462</v>
      </c>
      <c r="G264" s="110">
        <f t="shared" si="60"/>
        <v>0.4622347486124932</v>
      </c>
      <c r="H264" s="110">
        <f t="shared" si="60"/>
        <v>1.882829933248445E-3</v>
      </c>
      <c r="I264" s="110">
        <f t="shared" si="60"/>
        <v>2.3234121376285808</v>
      </c>
      <c r="J264" s="110">
        <f t="shared" si="60"/>
        <v>1.0929827762507223</v>
      </c>
      <c r="K264" s="275">
        <f t="shared" si="61"/>
        <v>46905.743715277946</v>
      </c>
    </row>
    <row r="265" spans="2:11" x14ac:dyDescent="0.2">
      <c r="B265" s="108">
        <f t="shared" si="57"/>
        <v>8281940</v>
      </c>
      <c r="C265" s="5">
        <v>226</v>
      </c>
      <c r="D265" s="109">
        <f t="shared" si="58"/>
        <v>9.2580630647759286</v>
      </c>
      <c r="E265" s="110">
        <f t="shared" si="59"/>
        <v>3.0857124194898167</v>
      </c>
      <c r="F265" s="110">
        <f t="shared" si="60"/>
        <v>2.3561770499854737</v>
      </c>
      <c r="G265" s="110">
        <f t="shared" si="60"/>
        <v>0.45457089648049809</v>
      </c>
      <c r="H265" s="110">
        <f t="shared" si="60"/>
        <v>1.8516126129551858E-3</v>
      </c>
      <c r="I265" s="110">
        <f t="shared" si="60"/>
        <v>2.2848899643866991</v>
      </c>
      <c r="J265" s="110">
        <f t="shared" si="60"/>
        <v>1.0748611218204853</v>
      </c>
      <c r="K265" s="275">
        <f t="shared" si="61"/>
        <v>46917.094409722391</v>
      </c>
    </row>
    <row r="266" spans="2:11" x14ac:dyDescent="0.2">
      <c r="B266" s="108">
        <f t="shared" si="57"/>
        <v>8314630</v>
      </c>
      <c r="C266" s="5">
        <v>227</v>
      </c>
      <c r="D266" s="109">
        <f t="shared" si="58"/>
        <v>9.1045643791619426</v>
      </c>
      <c r="E266" s="110">
        <f t="shared" si="59"/>
        <v>3.0345513075746755</v>
      </c>
      <c r="F266" s="110">
        <f t="shared" si="60"/>
        <v>2.3171116344967144</v>
      </c>
      <c r="G266" s="110">
        <f t="shared" si="60"/>
        <v>0.44703411101685137</v>
      </c>
      <c r="H266" s="110">
        <f t="shared" si="60"/>
        <v>1.8209128758323887E-3</v>
      </c>
      <c r="I266" s="110">
        <f t="shared" si="60"/>
        <v>2.2470064887771675</v>
      </c>
      <c r="J266" s="110">
        <f t="shared" si="60"/>
        <v>1.0570399244207014</v>
      </c>
      <c r="K266" s="275">
        <f t="shared" si="61"/>
        <v>46928.445104166836</v>
      </c>
    </row>
    <row r="267" spans="2:11" x14ac:dyDescent="0.2">
      <c r="B267" s="108">
        <f t="shared" si="57"/>
        <v>8347320</v>
      </c>
      <c r="C267" s="5">
        <v>228</v>
      </c>
      <c r="D267" s="109">
        <f t="shared" si="58"/>
        <v>8.9536107017554372</v>
      </c>
      <c r="E267" s="110">
        <f t="shared" si="59"/>
        <v>2.9842384468950871</v>
      </c>
      <c r="F267" s="110">
        <f t="shared" si="60"/>
        <v>2.2786939235967587</v>
      </c>
      <c r="G267" s="110">
        <f t="shared" si="60"/>
        <v>0.43962228545619192</v>
      </c>
      <c r="H267" s="110">
        <f t="shared" si="60"/>
        <v>1.7907221403510875E-3</v>
      </c>
      <c r="I267" s="110">
        <f t="shared" si="60"/>
        <v>2.2097511211932419</v>
      </c>
      <c r="J267" s="110">
        <f t="shared" si="60"/>
        <v>1.0395142024738062</v>
      </c>
      <c r="K267" s="275">
        <f t="shared" si="61"/>
        <v>46939.795798611281</v>
      </c>
    </row>
    <row r="268" spans="2:11" x14ac:dyDescent="0.2">
      <c r="B268" s="108">
        <f t="shared" si="57"/>
        <v>8380010</v>
      </c>
      <c r="C268" s="5">
        <v>229</v>
      </c>
      <c r="D268" s="109">
        <f t="shared" si="58"/>
        <v>8.8051598363203318</v>
      </c>
      <c r="E268" s="110">
        <f t="shared" si="59"/>
        <v>2.9347597734455664</v>
      </c>
      <c r="F268" s="110">
        <f t="shared" si="60"/>
        <v>2.2409131783435243</v>
      </c>
      <c r="G268" s="110">
        <f t="shared" si="60"/>
        <v>0.43233334796332828</v>
      </c>
      <c r="H268" s="110">
        <f t="shared" si="60"/>
        <v>1.7610319672640665E-3</v>
      </c>
      <c r="I268" s="110">
        <f t="shared" si="60"/>
        <v>2.1731134476038578</v>
      </c>
      <c r="J268" s="110">
        <f t="shared" si="60"/>
        <v>1.0222790569967906</v>
      </c>
      <c r="K268" s="275">
        <f t="shared" si="61"/>
        <v>46951.146493055727</v>
      </c>
    </row>
    <row r="269" spans="2:11" x14ac:dyDescent="0.2">
      <c r="B269" s="108">
        <f t="shared" si="57"/>
        <v>8412700</v>
      </c>
      <c r="C269" s="5">
        <v>230</v>
      </c>
      <c r="D269" s="109">
        <f t="shared" si="58"/>
        <v>8.65917028623414</v>
      </c>
      <c r="E269" s="110">
        <f t="shared" si="59"/>
        <v>2.8861014564018386</v>
      </c>
      <c r="F269" s="110">
        <f t="shared" si="60"/>
        <v>2.2037588378465887</v>
      </c>
      <c r="G269" s="110">
        <f t="shared" si="60"/>
        <v>0.42516526105409624</v>
      </c>
      <c r="H269" s="110">
        <f t="shared" si="60"/>
        <v>1.7318340572468282E-3</v>
      </c>
      <c r="I269" s="110">
        <f t="shared" si="60"/>
        <v>2.1370832266425857</v>
      </c>
      <c r="J269" s="110">
        <f t="shared" si="60"/>
        <v>1.0053296702317835</v>
      </c>
      <c r="K269" s="275">
        <f t="shared" si="61"/>
        <v>46962.497187500172</v>
      </c>
    </row>
    <row r="270" spans="2:11" x14ac:dyDescent="0.2">
      <c r="B270" s="108">
        <f t="shared" si="57"/>
        <v>8445390</v>
      </c>
      <c r="C270" s="5">
        <v>231</v>
      </c>
      <c r="D270" s="109">
        <f t="shared" si="58"/>
        <v>8.5156012428883781</v>
      </c>
      <c r="E270" s="110">
        <f t="shared" si="59"/>
        <v>2.8382498942546963</v>
      </c>
      <c r="F270" s="110">
        <f t="shared" si="60"/>
        <v>2.1672205163150924</v>
      </c>
      <c r="G270" s="110">
        <f t="shared" si="60"/>
        <v>0.41811602102581935</v>
      </c>
      <c r="H270" s="110">
        <f t="shared" si="60"/>
        <v>1.7031202485776756E-3</v>
      </c>
      <c r="I270" s="110">
        <f t="shared" si="60"/>
        <v>2.1016503867448515</v>
      </c>
      <c r="J270" s="110">
        <f t="shared" si="60"/>
        <v>0.98866130429934063</v>
      </c>
      <c r="K270" s="275">
        <f t="shared" si="61"/>
        <v>46973.847881944617</v>
      </c>
    </row>
    <row r="271" spans="2:11" x14ac:dyDescent="0.2">
      <c r="B271" s="108">
        <f t="shared" si="57"/>
        <v>8478080</v>
      </c>
      <c r="C271" s="5">
        <v>232</v>
      </c>
      <c r="D271" s="109">
        <f t="shared" si="58"/>
        <v>8.3744125742812887</v>
      </c>
      <c r="E271" s="110">
        <f t="shared" si="59"/>
        <v>2.7911917110079534</v>
      </c>
      <c r="F271" s="110">
        <f t="shared" si="60"/>
        <v>2.131288000154588</v>
      </c>
      <c r="G271" s="110">
        <f t="shared" si="60"/>
        <v>0.41118365739721124</v>
      </c>
      <c r="H271" s="110">
        <f t="shared" si="60"/>
        <v>1.6748825148562578E-3</v>
      </c>
      <c r="I271" s="110">
        <f t="shared" si="60"/>
        <v>2.0668050233326221</v>
      </c>
      <c r="J271" s="110">
        <f t="shared" si="60"/>
        <v>0.97226929987405752</v>
      </c>
      <c r="K271" s="275">
        <f t="shared" si="61"/>
        <v>46985.198576389063</v>
      </c>
    </row>
    <row r="272" spans="2:11" x14ac:dyDescent="0.2">
      <c r="B272" s="108">
        <f t="shared" si="57"/>
        <v>8510770</v>
      </c>
      <c r="C272" s="5">
        <v>233</v>
      </c>
      <c r="D272" s="109">
        <f t="shared" si="58"/>
        <v>8.2355648137997051</v>
      </c>
      <c r="E272" s="110">
        <f t="shared" si="59"/>
        <v>2.7449137524394414</v>
      </c>
      <c r="F272" s="110">
        <f t="shared" si="60"/>
        <v>2.0959512451120248</v>
      </c>
      <c r="G272" s="110">
        <f t="shared" si="60"/>
        <v>0.40436623235756552</v>
      </c>
      <c r="H272" s="110">
        <f t="shared" si="60"/>
        <v>1.6471129627599411E-3</v>
      </c>
      <c r="I272" s="110">
        <f t="shared" si="60"/>
        <v>2.0325373960457673</v>
      </c>
      <c r="J272" s="110">
        <f t="shared" si="60"/>
        <v>0.95614907488214573</v>
      </c>
      <c r="K272" s="275">
        <f t="shared" si="61"/>
        <v>46996.549270833508</v>
      </c>
    </row>
    <row r="273" spans="2:11" x14ac:dyDescent="0.2">
      <c r="B273" s="108">
        <f t="shared" si="57"/>
        <v>8543460</v>
      </c>
      <c r="C273" s="5">
        <v>234</v>
      </c>
      <c r="D273" s="109">
        <f t="shared" si="58"/>
        <v>8.0990191491869048</v>
      </c>
      <c r="E273" s="110">
        <f t="shared" si="59"/>
        <v>2.6994030824239954</v>
      </c>
      <c r="F273" s="110">
        <f t="shared" si="60"/>
        <v>2.0612003734680675</v>
      </c>
      <c r="G273" s="110">
        <f t="shared" si="60"/>
        <v>0.397661840225077</v>
      </c>
      <c r="H273" s="110">
        <f t="shared" si="60"/>
        <v>1.6198038298373811E-3</v>
      </c>
      <c r="I273" s="110">
        <f t="shared" si="60"/>
        <v>1.9988379260193281</v>
      </c>
      <c r="J273" s="110">
        <f t="shared" si="60"/>
        <v>0.94029612322059963</v>
      </c>
      <c r="K273" s="275">
        <f t="shared" si="61"/>
        <v>47007.899965277953</v>
      </c>
    </row>
    <row r="274" spans="2:11" x14ac:dyDescent="0.2">
      <c r="B274" s="108">
        <f t="shared" si="57"/>
        <v>8576150</v>
      </c>
      <c r="C274" s="5">
        <v>235</v>
      </c>
      <c r="D274" s="109">
        <f t="shared" si="58"/>
        <v>7.9647374116933856</v>
      </c>
      <c r="E274" s="110">
        <f t="shared" si="59"/>
        <v>2.6546469793174055</v>
      </c>
      <c r="F274" s="110">
        <f t="shared" si="60"/>
        <v>2.0270256712759664</v>
      </c>
      <c r="G274" s="110">
        <f t="shared" si="60"/>
        <v>0.39106860691414519</v>
      </c>
      <c r="H274" s="110">
        <f t="shared" si="60"/>
        <v>1.5929474823386772E-3</v>
      </c>
      <c r="I274" s="110">
        <f t="shared" si="60"/>
        <v>1.9656971932059275</v>
      </c>
      <c r="J274" s="110">
        <f t="shared" si="60"/>
        <v>0.92470601349760206</v>
      </c>
      <c r="K274" s="275">
        <f t="shared" si="61"/>
        <v>47019.250659722398</v>
      </c>
    </row>
    <row r="275" spans="2:11" x14ac:dyDescent="0.2">
      <c r="B275" s="108">
        <f t="shared" si="57"/>
        <v>8608840</v>
      </c>
      <c r="C275" s="5">
        <v>236</v>
      </c>
      <c r="D275" s="109">
        <f t="shared" si="58"/>
        <v>7.8326820654075089</v>
      </c>
      <c r="E275" s="110">
        <f t="shared" si="59"/>
        <v>2.6106329324003226</v>
      </c>
      <c r="F275" s="110">
        <f t="shared" si="60"/>
        <v>1.9934175856462111</v>
      </c>
      <c r="G275" s="110">
        <f t="shared" si="60"/>
        <v>0.3845846894115087</v>
      </c>
      <c r="H275" s="110">
        <f t="shared" si="60"/>
        <v>1.5665364130815018E-3</v>
      </c>
      <c r="I275" s="110">
        <f t="shared" si="60"/>
        <v>1.9331059337425731</v>
      </c>
      <c r="J275" s="110">
        <f t="shared" si="60"/>
        <v>0.90937438779381174</v>
      </c>
      <c r="K275" s="275">
        <f t="shared" si="61"/>
        <v>47030.601354166844</v>
      </c>
    </row>
    <row r="276" spans="2:11" x14ac:dyDescent="0.2">
      <c r="B276" s="108">
        <f t="shared" si="57"/>
        <v>8641530</v>
      </c>
      <c r="C276" s="5">
        <v>237</v>
      </c>
      <c r="D276" s="109">
        <f t="shared" si="58"/>
        <v>7.7028161967630524</v>
      </c>
      <c r="E276" s="110">
        <f t="shared" si="59"/>
        <v>2.5673486383811253</v>
      </c>
      <c r="F276" s="110">
        <f t="shared" si="60"/>
        <v>1.9603667220761969</v>
      </c>
      <c r="G276" s="110">
        <f t="shared" si="60"/>
        <v>0.37820827526106587</v>
      </c>
      <c r="H276" s="110">
        <f t="shared" si="60"/>
        <v>1.5405632393526106E-3</v>
      </c>
      <c r="I276" s="110">
        <f t="shared" si="60"/>
        <v>1.9010550373611212</v>
      </c>
      <c r="J276" s="110">
        <f t="shared" si="60"/>
        <v>0.89429696044419038</v>
      </c>
      <c r="K276" s="275">
        <f t="shared" si="61"/>
        <v>47041.952048611289</v>
      </c>
    </row>
    <row r="277" spans="2:11" x14ac:dyDescent="0.2">
      <c r="B277" s="108">
        <f t="shared" si="57"/>
        <v>8674220</v>
      </c>
      <c r="C277" s="5">
        <v>238</v>
      </c>
      <c r="D277" s="109">
        <f t="shared" si="58"/>
        <v>7.5751035042207207</v>
      </c>
      <c r="E277" s="110">
        <f t="shared" si="59"/>
        <v>2.5247819979567661</v>
      </c>
      <c r="F277" s="110">
        <f t="shared" si="60"/>
        <v>1.9278638418241734</v>
      </c>
      <c r="G277" s="110">
        <f t="shared" si="60"/>
        <v>0.37193758205723737</v>
      </c>
      <c r="H277" s="110">
        <f t="shared" si="60"/>
        <v>1.5150207008441442E-3</v>
      </c>
      <c r="I277" s="110">
        <f t="shared" si="60"/>
        <v>1.8695355448416737</v>
      </c>
      <c r="J277" s="110">
        <f t="shared" si="60"/>
        <v>0.87946951684002561</v>
      </c>
      <c r="K277" s="275">
        <f t="shared" si="61"/>
        <v>47053.302743055734</v>
      </c>
    </row>
    <row r="278" spans="2:11" x14ac:dyDescent="0.2">
      <c r="B278" s="108">
        <f t="shared" si="57"/>
        <v>8706910</v>
      </c>
      <c r="C278" s="5">
        <v>239</v>
      </c>
      <c r="D278" s="109">
        <f t="shared" si="58"/>
        <v>7.4495082881207404</v>
      </c>
      <c r="E278" s="110">
        <f t="shared" si="59"/>
        <v>2.4829211124306427</v>
      </c>
      <c r="F278" s="110">
        <f t="shared" si="60"/>
        <v>1.8958998593267284</v>
      </c>
      <c r="G278" s="110">
        <f t="shared" si="60"/>
        <v>0.36577085694672834</v>
      </c>
      <c r="H278" s="110">
        <f t="shared" si="60"/>
        <v>1.4899016576241481E-3</v>
      </c>
      <c r="I278" s="110">
        <f t="shared" si="60"/>
        <v>1.8385386455081987</v>
      </c>
      <c r="J278" s="110">
        <f t="shared" si="60"/>
        <v>0.86488791225081796</v>
      </c>
      <c r="K278" s="275">
        <f t="shared" si="61"/>
        <v>47064.653437500179</v>
      </c>
    </row>
    <row r="279" spans="2:11" x14ac:dyDescent="0.2">
      <c r="B279" s="108">
        <f t="shared" si="57"/>
        <v>8739600</v>
      </c>
      <c r="C279" s="5">
        <v>240</v>
      </c>
      <c r="D279" s="109">
        <f t="shared" si="58"/>
        <v>7.3259954407036982</v>
      </c>
      <c r="E279" s="110">
        <f t="shared" si="59"/>
        <v>2.4417542803865424</v>
      </c>
      <c r="F279" s="110">
        <f t="shared" si="60"/>
        <v>1.8644658396590912</v>
      </c>
      <c r="G279" s="110">
        <f t="shared" si="60"/>
        <v>0.35970637613855155</v>
      </c>
      <c r="H279" s="110">
        <f t="shared" si="60"/>
        <v>1.4651990881407396E-3</v>
      </c>
      <c r="I279" s="110">
        <f t="shared" si="60"/>
        <v>1.8080556747656726</v>
      </c>
      <c r="J279" s="110">
        <f t="shared" si="60"/>
        <v>0.85054807066569937</v>
      </c>
      <c r="K279" s="275">
        <f t="shared" si="61"/>
        <v>47076.004131944625</v>
      </c>
    </row>
    <row r="280" spans="2:11" x14ac:dyDescent="0.2">
      <c r="B280" s="108">
        <f t="shared" si="57"/>
        <v>8772290</v>
      </c>
      <c r="C280" s="5">
        <v>241</v>
      </c>
      <c r="D280" s="109">
        <f t="shared" si="58"/>
        <v>7.2045304362968308</v>
      </c>
      <c r="E280" s="110">
        <f t="shared" si="59"/>
        <v>2.4012699944177336</v>
      </c>
      <c r="F280" s="110">
        <f t="shared" si="60"/>
        <v>1.8335529960375434</v>
      </c>
      <c r="G280" s="110">
        <f t="shared" si="60"/>
        <v>0.3537424444221744</v>
      </c>
      <c r="H280" s="110">
        <f t="shared" si="60"/>
        <v>1.4409060872593662E-3</v>
      </c>
      <c r="I280" s="110">
        <f t="shared" si="60"/>
        <v>1.7780781116780577</v>
      </c>
      <c r="J280" s="110">
        <f t="shared" si="60"/>
        <v>0.83644598365406198</v>
      </c>
      <c r="K280" s="275">
        <f t="shared" si="61"/>
        <v>47087.35482638907</v>
      </c>
    </row>
    <row r="281" spans="2:11" x14ac:dyDescent="0.2">
      <c r="B281" s="108">
        <f t="shared" si="57"/>
        <v>8804980</v>
      </c>
      <c r="C281" s="5">
        <v>242</v>
      </c>
      <c r="D281" s="109">
        <f t="shared" si="58"/>
        <v>7.085079321663029</v>
      </c>
      <c r="E281" s="110">
        <f t="shared" si="59"/>
        <v>2.3614569379102877</v>
      </c>
      <c r="F281" s="110">
        <f t="shared" ref="F281:J331" si="62">$D281*F$37</f>
        <v>1.8031526873632409</v>
      </c>
      <c r="G281" s="110">
        <f t="shared" si="62"/>
        <v>0.3478773946936547</v>
      </c>
      <c r="H281" s="110">
        <f t="shared" si="62"/>
        <v>1.4170158643326059E-3</v>
      </c>
      <c r="I281" s="110">
        <f t="shared" si="62"/>
        <v>1.7485975765864354</v>
      </c>
      <c r="J281" s="110">
        <f t="shared" si="62"/>
        <v>0.82257770924507767</v>
      </c>
      <c r="K281" s="275">
        <f t="shared" si="61"/>
        <v>47098.705520833515</v>
      </c>
    </row>
    <row r="282" spans="2:11" x14ac:dyDescent="0.2">
      <c r="B282" s="108">
        <f t="shared" si="57"/>
        <v>8837670</v>
      </c>
      <c r="C282" s="5">
        <v>243</v>
      </c>
      <c r="D282" s="109">
        <f t="shared" si="58"/>
        <v>6.9676087065098553</v>
      </c>
      <c r="E282" s="110">
        <f t="shared" si="59"/>
        <v>2.3223039818797346</v>
      </c>
      <c r="F282" s="110">
        <f t="shared" si="62"/>
        <v>1.7732564158067583</v>
      </c>
      <c r="G282" s="110">
        <f t="shared" si="62"/>
        <v>0.34210958748963388</v>
      </c>
      <c r="H282" s="110">
        <f t="shared" si="62"/>
        <v>1.3935217413019712E-3</v>
      </c>
      <c r="I282" s="110">
        <f t="shared" si="62"/>
        <v>1.7196058287666323</v>
      </c>
      <c r="J282" s="110">
        <f t="shared" si="62"/>
        <v>0.80893937082579415</v>
      </c>
      <c r="K282" s="275">
        <f t="shared" si="61"/>
        <v>47110.05621527796</v>
      </c>
    </row>
    <row r="283" spans="2:11" x14ac:dyDescent="0.2">
      <c r="B283" s="108">
        <f t="shared" si="57"/>
        <v>8870360</v>
      </c>
      <c r="C283" s="5">
        <v>244</v>
      </c>
      <c r="D283" s="109">
        <f t="shared" si="58"/>
        <v>6.8520857541559215</v>
      </c>
      <c r="E283" s="110">
        <f t="shared" si="59"/>
        <v>2.2838001818601685</v>
      </c>
      <c r="F283" s="110">
        <f t="shared" si="62"/>
        <v>1.7438558244326821</v>
      </c>
      <c r="G283" s="110">
        <f t="shared" si="62"/>
        <v>0.33643741052905574</v>
      </c>
      <c r="H283" s="110">
        <f t="shared" si="62"/>
        <v>1.3704171508311844E-3</v>
      </c>
      <c r="I283" s="110">
        <f t="shared" si="62"/>
        <v>1.6910947641256813</v>
      </c>
      <c r="J283" s="110">
        <f t="shared" si="62"/>
        <v>0.79552715605750246</v>
      </c>
      <c r="K283" s="275">
        <f t="shared" si="61"/>
        <v>47121.406909722406</v>
      </c>
    </row>
    <row r="284" spans="2:11" x14ac:dyDescent="0.2">
      <c r="B284" s="108">
        <f t="shared" si="57"/>
        <v>8903050</v>
      </c>
      <c r="C284" s="5">
        <v>245</v>
      </c>
      <c r="D284" s="109">
        <f t="shared" si="58"/>
        <v>6.738478172352016</v>
      </c>
      <c r="E284" s="110">
        <f t="shared" si="59"/>
        <v>2.245934774844927</v>
      </c>
      <c r="F284" s="110">
        <f t="shared" si="62"/>
        <v>1.7149426948635882</v>
      </c>
      <c r="G284" s="110">
        <f t="shared" si="62"/>
        <v>0.33085927826248396</v>
      </c>
      <c r="H284" s="110">
        <f t="shared" si="62"/>
        <v>1.3476956344704032E-3</v>
      </c>
      <c r="I284" s="110">
        <f t="shared" si="62"/>
        <v>1.6630564129364775</v>
      </c>
      <c r="J284" s="110">
        <f t="shared" si="62"/>
        <v>0.78233731581006904</v>
      </c>
      <c r="K284" s="275">
        <f t="shared" si="61"/>
        <v>47132.757604166851</v>
      </c>
    </row>
    <row r="285" spans="2:11" x14ac:dyDescent="0.2">
      <c r="B285" s="108">
        <f t="shared" si="57"/>
        <v>8935740</v>
      </c>
      <c r="C285" s="5">
        <v>246</v>
      </c>
      <c r="D285" s="109">
        <f t="shared" si="58"/>
        <v>6.6267542042544196</v>
      </c>
      <c r="E285" s="110">
        <f t="shared" si="59"/>
        <v>2.2086971762779979</v>
      </c>
      <c r="F285" s="110">
        <f t="shared" si="62"/>
        <v>1.6865089449827497</v>
      </c>
      <c r="G285" s="110">
        <f t="shared" si="62"/>
        <v>0.32537363142889197</v>
      </c>
      <c r="H285" s="110">
        <f t="shared" si="62"/>
        <v>1.325350840850884E-3</v>
      </c>
      <c r="I285" s="110">
        <f t="shared" si="62"/>
        <v>1.6354829376099906</v>
      </c>
      <c r="J285" s="110">
        <f t="shared" si="62"/>
        <v>0.76936616311393813</v>
      </c>
      <c r="K285" s="275">
        <f t="shared" si="61"/>
        <v>47144.108298611296</v>
      </c>
    </row>
    <row r="286" spans="2:11" x14ac:dyDescent="0.2">
      <c r="B286" s="108">
        <f t="shared" si="57"/>
        <v>8968430</v>
      </c>
      <c r="C286" s="5">
        <v>247</v>
      </c>
      <c r="D286" s="109">
        <f t="shared" si="58"/>
        <v>6.5168826195478813</v>
      </c>
      <c r="E286" s="110">
        <f t="shared" si="59"/>
        <v>2.1720769770953088</v>
      </c>
      <c r="F286" s="110">
        <f t="shared" si="62"/>
        <v>1.6585466266749358</v>
      </c>
      <c r="G286" s="110">
        <f t="shared" si="62"/>
        <v>0.31997893661980098</v>
      </c>
      <c r="H286" s="110">
        <f t="shared" si="62"/>
        <v>1.3033765239095763E-3</v>
      </c>
      <c r="I286" s="110">
        <f t="shared" si="62"/>
        <v>1.6083666305044171</v>
      </c>
      <c r="J286" s="110">
        <f t="shared" si="62"/>
        <v>0.75661007212950904</v>
      </c>
      <c r="K286" s="275">
        <f t="shared" si="61"/>
        <v>47155.458993055741</v>
      </c>
    </row>
    <row r="287" spans="2:11" x14ac:dyDescent="0.2">
      <c r="B287" s="108">
        <f t="shared" si="57"/>
        <v>9001120</v>
      </c>
      <c r="C287" s="5">
        <v>248</v>
      </c>
      <c r="D287" s="109">
        <f t="shared" si="58"/>
        <v>6.4088327057157768</v>
      </c>
      <c r="E287" s="110">
        <f t="shared" si="59"/>
        <v>2.1360639408150681</v>
      </c>
      <c r="F287" s="110">
        <f t="shared" si="62"/>
        <v>1.6310479236046653</v>
      </c>
      <c r="G287" s="110">
        <f t="shared" si="62"/>
        <v>0.31467368585064465</v>
      </c>
      <c r="H287" s="110">
        <f t="shared" si="62"/>
        <v>1.2817665411431554E-3</v>
      </c>
      <c r="I287" s="110">
        <f t="shared" si="62"/>
        <v>1.5816999117706536</v>
      </c>
      <c r="J287" s="110">
        <f t="shared" si="62"/>
        <v>0.7440654771336016</v>
      </c>
      <c r="K287" s="275">
        <f t="shared" si="61"/>
        <v>47166.809687500187</v>
      </c>
    </row>
    <row r="288" spans="2:11" x14ac:dyDescent="0.2">
      <c r="B288" s="108">
        <f t="shared" si="57"/>
        <v>9033810</v>
      </c>
      <c r="C288" s="5">
        <v>249</v>
      </c>
      <c r="D288" s="109">
        <f t="shared" si="58"/>
        <v>6.3025742594550094</v>
      </c>
      <c r="E288" s="110">
        <f t="shared" si="59"/>
        <v>2.1006480006763546</v>
      </c>
      <c r="F288" s="110">
        <f t="shared" si="62"/>
        <v>1.6040051490312999</v>
      </c>
      <c r="G288" s="110">
        <f t="shared" si="62"/>
        <v>0.30945639613924092</v>
      </c>
      <c r="H288" s="110">
        <f t="shared" si="62"/>
        <v>1.2605148518910019E-3</v>
      </c>
      <c r="I288" s="110">
        <f t="shared" si="62"/>
        <v>1.5554753272334962</v>
      </c>
      <c r="J288" s="110">
        <f t="shared" si="62"/>
        <v>0.73172887152272659</v>
      </c>
      <c r="K288" s="275">
        <f t="shared" si="61"/>
        <v>47178.160381944632</v>
      </c>
    </row>
    <row r="289" spans="2:11" x14ac:dyDescent="0.2">
      <c r="B289" s="108">
        <f t="shared" si="57"/>
        <v>9066500</v>
      </c>
      <c r="C289" s="5">
        <v>250</v>
      </c>
      <c r="D289" s="109">
        <f t="shared" si="58"/>
        <v>6.1980775782332449</v>
      </c>
      <c r="E289" s="110">
        <f t="shared" si="59"/>
        <v>2.0658192568251406</v>
      </c>
      <c r="F289" s="110">
        <f t="shared" si="62"/>
        <v>1.5774107436603608</v>
      </c>
      <c r="G289" s="110">
        <f t="shared" si="62"/>
        <v>0.30432560909125234</v>
      </c>
      <c r="H289" s="110">
        <f t="shared" si="62"/>
        <v>1.239615515646649E-3</v>
      </c>
      <c r="I289" s="110">
        <f t="shared" si="62"/>
        <v>1.5296855463079648</v>
      </c>
      <c r="J289" s="110">
        <f t="shared" si="62"/>
        <v>0.71959680683287974</v>
      </c>
      <c r="K289" s="275">
        <f t="shared" si="61"/>
        <v>47189.511076389077</v>
      </c>
    </row>
    <row r="290" spans="2:11" x14ac:dyDescent="0.2">
      <c r="B290" s="108">
        <f t="shared" si="57"/>
        <v>9099190</v>
      </c>
      <c r="C290" s="5">
        <v>251</v>
      </c>
      <c r="D290" s="109">
        <f t="shared" si="58"/>
        <v>6.0953134519861374</v>
      </c>
      <c r="E290" s="110">
        <f t="shared" si="59"/>
        <v>2.0315679735469794</v>
      </c>
      <c r="F290" s="110">
        <f t="shared" si="62"/>
        <v>1.5512572735304719</v>
      </c>
      <c r="G290" s="110">
        <f t="shared" si="62"/>
        <v>0.29927989049251935</v>
      </c>
      <c r="H290" s="110">
        <f t="shared" si="62"/>
        <v>1.2190626903972276E-3</v>
      </c>
      <c r="I290" s="110">
        <f t="shared" si="62"/>
        <v>1.5043233599501786</v>
      </c>
      <c r="J290" s="110">
        <f t="shared" si="62"/>
        <v>0.70766589177559047</v>
      </c>
      <c r="K290" s="275">
        <f t="shared" si="61"/>
        <v>47200.861770833522</v>
      </c>
    </row>
    <row r="291" spans="2:11" x14ac:dyDescent="0.2">
      <c r="B291" s="108">
        <f t="shared" si="57"/>
        <v>9131880</v>
      </c>
      <c r="C291" s="5">
        <v>252</v>
      </c>
      <c r="D291" s="109">
        <f t="shared" si="58"/>
        <v>5.9942531549522071</v>
      </c>
      <c r="E291" s="110">
        <f t="shared" si="59"/>
        <v>1.9978845765455706</v>
      </c>
      <c r="F291" s="110">
        <f t="shared" si="62"/>
        <v>1.5255374279353366</v>
      </c>
      <c r="G291" s="110">
        <f t="shared" si="62"/>
        <v>0.29431782990815336</v>
      </c>
      <c r="H291" s="110">
        <f t="shared" si="62"/>
        <v>1.1988506309904415E-3</v>
      </c>
      <c r="I291" s="110">
        <f t="shared" si="62"/>
        <v>1.4793816786422047</v>
      </c>
      <c r="J291" s="110">
        <f t="shared" si="62"/>
        <v>0.69593279128995122</v>
      </c>
      <c r="K291" s="275">
        <f t="shared" si="61"/>
        <v>47212.212465277968</v>
      </c>
    </row>
    <row r="292" spans="2:11" x14ac:dyDescent="0.2">
      <c r="B292" s="108">
        <f t="shared" si="57"/>
        <v>9164570</v>
      </c>
      <c r="C292" s="5">
        <v>253</v>
      </c>
      <c r="D292" s="109">
        <f t="shared" si="58"/>
        <v>5.8948684376430993</v>
      </c>
      <c r="E292" s="110">
        <f t="shared" si="59"/>
        <v>1.9647596502664448</v>
      </c>
      <c r="F292" s="110">
        <f t="shared" si="62"/>
        <v>1.5002440173801688</v>
      </c>
      <c r="G292" s="110">
        <f t="shared" si="62"/>
        <v>0.28943804028827619</v>
      </c>
      <c r="H292" s="110">
        <f t="shared" si="62"/>
        <v>1.17897368752862E-3</v>
      </c>
      <c r="I292" s="110">
        <f t="shared" si="62"/>
        <v>1.454853530410317</v>
      </c>
      <c r="J292" s="110">
        <f t="shared" si="62"/>
        <v>0.68439422561036378</v>
      </c>
      <c r="K292" s="275">
        <f t="shared" si="61"/>
        <v>47223.563159722413</v>
      </c>
    </row>
    <row r="293" spans="2:11" x14ac:dyDescent="0.2">
      <c r="B293" s="108">
        <f t="shared" si="57"/>
        <v>9197260</v>
      </c>
      <c r="C293" s="5">
        <v>254</v>
      </c>
      <c r="D293" s="109">
        <f t="shared" si="58"/>
        <v>5.7971315189469763</v>
      </c>
      <c r="E293" s="110">
        <f t="shared" si="59"/>
        <v>1.9321839352650272</v>
      </c>
      <c r="F293" s="110">
        <f t="shared" si="62"/>
        <v>1.4753699715720054</v>
      </c>
      <c r="G293" s="110">
        <f t="shared" si="62"/>
        <v>0.28463915758029651</v>
      </c>
      <c r="H293" s="110">
        <f t="shared" si="62"/>
        <v>1.1594263037893954E-3</v>
      </c>
      <c r="I293" s="110">
        <f t="shared" si="62"/>
        <v>1.4307320588761137</v>
      </c>
      <c r="J293" s="110">
        <f t="shared" si="62"/>
        <v>0.67304696934974395</v>
      </c>
      <c r="K293" s="275">
        <f t="shared" si="61"/>
        <v>47234.913854166858</v>
      </c>
    </row>
    <row r="294" spans="2:11" x14ac:dyDescent="0.2">
      <c r="B294" s="108">
        <f t="shared" si="57"/>
        <v>9229950</v>
      </c>
      <c r="C294" s="5">
        <v>255</v>
      </c>
      <c r="D294" s="109">
        <f t="shared" si="58"/>
        <v>5.7010150783628353</v>
      </c>
      <c r="E294" s="110">
        <f t="shared" si="59"/>
        <v>1.9001483256183329</v>
      </c>
      <c r="F294" s="110">
        <f t="shared" si="62"/>
        <v>1.4509083374433416</v>
      </c>
      <c r="G294" s="110">
        <f t="shared" si="62"/>
        <v>0.27991984034761519</v>
      </c>
      <c r="H294" s="110">
        <f t="shared" si="62"/>
        <v>1.1402030156725672E-3</v>
      </c>
      <c r="I294" s="110">
        <f t="shared" si="62"/>
        <v>1.4070105213399478</v>
      </c>
      <c r="J294" s="110">
        <f t="shared" si="62"/>
        <v>0.6618878505979251</v>
      </c>
      <c r="K294" s="275">
        <f t="shared" si="61"/>
        <v>47246.264548611303</v>
      </c>
    </row>
    <row r="295" spans="2:11" x14ac:dyDescent="0.2">
      <c r="B295" s="108">
        <f t="shared" si="57"/>
        <v>9262640</v>
      </c>
      <c r="C295" s="5">
        <v>256</v>
      </c>
      <c r="D295" s="109">
        <f t="shared" si="58"/>
        <v>5.6064922483635788</v>
      </c>
      <c r="E295" s="110">
        <f t="shared" si="59"/>
        <v>1.8686438663795808</v>
      </c>
      <c r="F295" s="110">
        <f t="shared" si="62"/>
        <v>1.4268522772085308</v>
      </c>
      <c r="G295" s="110">
        <f t="shared" si="62"/>
        <v>0.27527876939465173</v>
      </c>
      <c r="H295" s="110">
        <f t="shared" si="62"/>
        <v>1.1212984496727159E-3</v>
      </c>
      <c r="I295" s="110">
        <f t="shared" si="62"/>
        <v>1.3836822868961312</v>
      </c>
      <c r="J295" s="110">
        <f t="shared" si="62"/>
        <v>0.65091375003501151</v>
      </c>
      <c r="K295" s="275">
        <f t="shared" si="61"/>
        <v>47257.615243055749</v>
      </c>
    </row>
    <row r="296" spans="2:11" x14ac:dyDescent="0.2">
      <c r="B296" s="108">
        <f t="shared" ref="B296:B359" si="63">B295+$B$22</f>
        <v>9295330</v>
      </c>
      <c r="C296" s="5">
        <v>257</v>
      </c>
      <c r="D296" s="109">
        <f t="shared" ref="D296:D359" si="64">D295*(1-$C$22)</f>
        <v>5.5135366068857108</v>
      </c>
      <c r="E296" s="110">
        <f t="shared" si="59"/>
        <v>1.8376617510750073</v>
      </c>
      <c r="F296" s="110">
        <f t="shared" si="62"/>
        <v>1.4031950664524133</v>
      </c>
      <c r="G296" s="110">
        <f t="shared" si="62"/>
        <v>0.27071464739808837</v>
      </c>
      <c r="H296" s="110">
        <f t="shared" si="62"/>
        <v>1.1027073213771422E-3</v>
      </c>
      <c r="I296" s="110">
        <f t="shared" si="62"/>
        <v>1.3607408345793934</v>
      </c>
      <c r="J296" s="110">
        <f t="shared" si="62"/>
        <v>0.64012160005943097</v>
      </c>
      <c r="K296" s="275">
        <f t="shared" si="61"/>
        <v>47268.965937500194</v>
      </c>
    </row>
    <row r="297" spans="2:11" x14ac:dyDescent="0.2">
      <c r="B297" s="108">
        <f t="shared" si="63"/>
        <v>9328020</v>
      </c>
      <c r="C297" s="5">
        <v>258</v>
      </c>
      <c r="D297" s="109">
        <f t="shared" si="64"/>
        <v>5.4221221699435453</v>
      </c>
      <c r="E297" s="110">
        <f t="shared" si="59"/>
        <v>1.8071933192421836</v>
      </c>
      <c r="F297" s="110">
        <f t="shared" si="62"/>
        <v>1.3799300922506323</v>
      </c>
      <c r="G297" s="110">
        <f t="shared" si="62"/>
        <v>0.26622619854422808</v>
      </c>
      <c r="H297" s="110">
        <f t="shared" si="62"/>
        <v>1.0844244339887092E-3</v>
      </c>
      <c r="I297" s="110">
        <f t="shared" si="62"/>
        <v>1.338179751542067</v>
      </c>
      <c r="J297" s="110">
        <f t="shared" si="62"/>
        <v>0.62950838393044561</v>
      </c>
      <c r="K297" s="275">
        <f t="shared" si="61"/>
        <v>47280.316631944639</v>
      </c>
    </row>
    <row r="298" spans="2:11" x14ac:dyDescent="0.2">
      <c r="B298" s="108">
        <f t="shared" si="63"/>
        <v>9360710</v>
      </c>
      <c r="C298" s="5">
        <v>259</v>
      </c>
      <c r="D298" s="109">
        <f t="shared" si="64"/>
        <v>5.3322233843658813</v>
      </c>
      <c r="E298" s="110">
        <f t="shared" si="59"/>
        <v>1.7772300540091481</v>
      </c>
      <c r="F298" s="110">
        <f t="shared" si="62"/>
        <v>1.3570508513211168</v>
      </c>
      <c r="G298" s="110">
        <f t="shared" si="62"/>
        <v>0.26181216817236475</v>
      </c>
      <c r="H298" s="110">
        <f t="shared" si="62"/>
        <v>1.0664446768731764E-3</v>
      </c>
      <c r="I298" s="110">
        <f t="shared" si="62"/>
        <v>1.3159927312614994</v>
      </c>
      <c r="J298" s="110">
        <f t="shared" si="62"/>
        <v>0.61907113492487875</v>
      </c>
      <c r="K298" s="275">
        <f t="shared" si="61"/>
        <v>47291.667326389084</v>
      </c>
    </row>
    <row r="299" spans="2:11" x14ac:dyDescent="0.2">
      <c r="B299" s="108">
        <f t="shared" si="63"/>
        <v>9393400</v>
      </c>
      <c r="C299" s="5">
        <v>260</v>
      </c>
      <c r="D299" s="109">
        <f t="shared" si="64"/>
        <v>5.2438151206530952</v>
      </c>
      <c r="E299" s="110">
        <f t="shared" si="59"/>
        <v>1.7477635797136766</v>
      </c>
      <c r="F299" s="110">
        <f t="shared" si="62"/>
        <v>1.3345509482062128</v>
      </c>
      <c r="G299" s="110">
        <f t="shared" si="62"/>
        <v>0.25747132242406695</v>
      </c>
      <c r="H299" s="110">
        <f t="shared" si="62"/>
        <v>1.048763024130619E-3</v>
      </c>
      <c r="I299" s="110">
        <f t="shared" si="62"/>
        <v>1.2941735717771838</v>
      </c>
      <c r="J299" s="110">
        <f t="shared" si="62"/>
        <v>0.60880693550782428</v>
      </c>
      <c r="K299" s="275">
        <f t="shared" si="61"/>
        <v>47303.01802083353</v>
      </c>
    </row>
    <row r="300" spans="2:11" x14ac:dyDescent="0.2">
      <c r="B300" s="108">
        <f t="shared" si="63"/>
        <v>9426090</v>
      </c>
      <c r="C300" s="5">
        <v>261</v>
      </c>
      <c r="D300" s="109">
        <f t="shared" si="64"/>
        <v>5.1568726659526662</v>
      </c>
      <c r="E300" s="110">
        <f t="shared" ref="E300:E363" si="65">D300*E$37</f>
        <v>1.7187856595620237</v>
      </c>
      <c r="F300" s="110">
        <f t="shared" si="62"/>
        <v>1.3124240934849536</v>
      </c>
      <c r="G300" s="110">
        <f t="shared" si="62"/>
        <v>0.2532024478982759</v>
      </c>
      <c r="H300" s="110">
        <f t="shared" si="62"/>
        <v>1.0313745331905332E-3</v>
      </c>
      <c r="I300" s="110">
        <f t="shared" si="62"/>
        <v>1.272716173957118</v>
      </c>
      <c r="J300" s="110">
        <f t="shared" si="62"/>
        <v>0.59871291651710457</v>
      </c>
      <c r="K300" s="275">
        <f t="shared" si="61"/>
        <v>47314.368715277975</v>
      </c>
    </row>
    <row r="301" spans="2:11" x14ac:dyDescent="0.2">
      <c r="B301" s="108">
        <f t="shared" si="63"/>
        <v>9458780</v>
      </c>
      <c r="C301" s="5">
        <v>262</v>
      </c>
      <c r="D301" s="109">
        <f t="shared" si="64"/>
        <v>5.0713717171511705</v>
      </c>
      <c r="E301" s="110">
        <f t="shared" si="65"/>
        <v>1.6902881933264851</v>
      </c>
      <c r="F301" s="110">
        <f t="shared" si="62"/>
        <v>1.2906641020149729</v>
      </c>
      <c r="G301" s="110">
        <f t="shared" si="62"/>
        <v>0.24900435131212245</v>
      </c>
      <c r="H301" s="110">
        <f t="shared" si="62"/>
        <v>1.0142743434302342E-3</v>
      </c>
      <c r="I301" s="110">
        <f t="shared" si="62"/>
        <v>1.2516145397929088</v>
      </c>
      <c r="J301" s="110">
        <f t="shared" si="62"/>
        <v>0.58878625636125093</v>
      </c>
      <c r="K301" s="275">
        <f t="shared" si="61"/>
        <v>47325.71940972242</v>
      </c>
    </row>
    <row r="302" spans="2:11" x14ac:dyDescent="0.2">
      <c r="B302" s="108">
        <f t="shared" si="63"/>
        <v>9491470</v>
      </c>
      <c r="C302" s="5">
        <v>263</v>
      </c>
      <c r="D302" s="109">
        <f t="shared" si="64"/>
        <v>4.9872883740808041</v>
      </c>
      <c r="E302" s="110">
        <f t="shared" si="65"/>
        <v>1.6622632150811318</v>
      </c>
      <c r="F302" s="110">
        <f t="shared" si="62"/>
        <v>1.2692648912035647</v>
      </c>
      <c r="G302" s="110">
        <f t="shared" si="62"/>
        <v>0.24487585916736745</v>
      </c>
      <c r="H302" s="110">
        <f t="shared" si="62"/>
        <v>9.9745767481616084E-4</v>
      </c>
      <c r="I302" s="110">
        <f t="shared" si="62"/>
        <v>1.2308627707231423</v>
      </c>
      <c r="J302" s="110">
        <f t="shared" si="62"/>
        <v>0.57902418023078128</v>
      </c>
      <c r="K302" s="275">
        <f t="shared" si="61"/>
        <v>47337.070104166865</v>
      </c>
    </row>
    <row r="303" spans="2:11" x14ac:dyDescent="0.2">
      <c r="B303" s="108">
        <f t="shared" si="63"/>
        <v>9524160</v>
      </c>
      <c r="C303" s="5">
        <v>264</v>
      </c>
      <c r="D303" s="109">
        <f t="shared" si="64"/>
        <v>4.9045991328385439</v>
      </c>
      <c r="E303" s="110">
        <f t="shared" si="65"/>
        <v>1.6347028909750867</v>
      </c>
      <c r="F303" s="110">
        <f t="shared" si="62"/>
        <v>1.2482204793074094</v>
      </c>
      <c r="G303" s="110">
        <f t="shared" si="62"/>
        <v>0.24081581742237249</v>
      </c>
      <c r="H303" s="110">
        <f t="shared" si="62"/>
        <v>9.8091982656770883E-4</v>
      </c>
      <c r="I303" s="110">
        <f t="shared" si="62"/>
        <v>1.2104550659845525</v>
      </c>
      <c r="J303" s="110">
        <f t="shared" si="62"/>
        <v>0.56942395932255496</v>
      </c>
      <c r="K303" s="275">
        <f t="shared" si="61"/>
        <v>47348.420798611311</v>
      </c>
    </row>
    <row r="304" spans="2:11" x14ac:dyDescent="0.2">
      <c r="B304" s="108">
        <f t="shared" si="63"/>
        <v>9556850</v>
      </c>
      <c r="C304" s="5">
        <v>265</v>
      </c>
      <c r="D304" s="109">
        <f t="shared" si="64"/>
        <v>4.8232808792160808</v>
      </c>
      <c r="E304" s="110">
        <f t="shared" si="65"/>
        <v>1.6075995170427198</v>
      </c>
      <c r="F304" s="110">
        <f t="shared" si="62"/>
        <v>1.2275249837604927</v>
      </c>
      <c r="G304" s="110">
        <f t="shared" si="62"/>
        <v>0.23682309116950956</v>
      </c>
      <c r="H304" s="110">
        <f t="shared" si="62"/>
        <v>9.6465617584321622E-4</v>
      </c>
      <c r="I304" s="110">
        <f t="shared" si="62"/>
        <v>1.1903857209905286</v>
      </c>
      <c r="J304" s="110">
        <f t="shared" si="62"/>
        <v>0.55998291007698697</v>
      </c>
      <c r="K304" s="275">
        <f t="shared" si="61"/>
        <v>47359.771493055756</v>
      </c>
    </row>
    <row r="305" spans="2:11" x14ac:dyDescent="0.2">
      <c r="B305" s="108">
        <f t="shared" si="63"/>
        <v>9589540</v>
      </c>
      <c r="C305" s="5">
        <v>266</v>
      </c>
      <c r="D305" s="109">
        <f t="shared" si="64"/>
        <v>4.7433108822386778</v>
      </c>
      <c r="E305" s="110">
        <f t="shared" si="65"/>
        <v>1.5809455170501512</v>
      </c>
      <c r="F305" s="110">
        <f t="shared" si="62"/>
        <v>1.2071726195297434</v>
      </c>
      <c r="G305" s="110">
        <f t="shared" si="62"/>
        <v>0.23289656431791908</v>
      </c>
      <c r="H305" s="110">
        <f t="shared" si="62"/>
        <v>9.4866217644773562E-4</v>
      </c>
      <c r="I305" s="110">
        <f t="shared" si="62"/>
        <v>1.1706491257365057</v>
      </c>
      <c r="J305" s="110">
        <f t="shared" si="62"/>
        <v>0.55069839342791049</v>
      </c>
      <c r="K305" s="275">
        <f t="shared" si="61"/>
        <v>47371.122187500201</v>
      </c>
    </row>
    <row r="306" spans="2:11" x14ac:dyDescent="0.2">
      <c r="B306" s="108">
        <f t="shared" si="63"/>
        <v>9622230</v>
      </c>
      <c r="C306" s="5">
        <v>267</v>
      </c>
      <c r="D306" s="109">
        <f t="shared" si="64"/>
        <v>4.6646667878111607</v>
      </c>
      <c r="E306" s="110">
        <f t="shared" si="65"/>
        <v>1.5547334403774598</v>
      </c>
      <c r="F306" s="110">
        <f t="shared" si="62"/>
        <v>1.1871576974979405</v>
      </c>
      <c r="G306" s="110">
        <f t="shared" si="62"/>
        <v>0.22903513928152799</v>
      </c>
      <c r="H306" s="110">
        <f t="shared" si="62"/>
        <v>9.3293335756223215E-4</v>
      </c>
      <c r="I306" s="110">
        <f t="shared" si="62"/>
        <v>1.1512397632317943</v>
      </c>
      <c r="J306" s="110">
        <f t="shared" si="62"/>
        <v>0.54156781406487575</v>
      </c>
      <c r="K306" s="275">
        <f t="shared" si="61"/>
        <v>47382.472881944646</v>
      </c>
    </row>
    <row r="307" spans="2:11" x14ac:dyDescent="0.2">
      <c r="B307" s="108">
        <f t="shared" si="63"/>
        <v>9654920</v>
      </c>
      <c r="C307" s="5">
        <v>268</v>
      </c>
      <c r="D307" s="109">
        <f t="shared" si="64"/>
        <v>4.5873266124692513</v>
      </c>
      <c r="E307" s="110">
        <f t="shared" si="65"/>
        <v>1.5289559599360014</v>
      </c>
      <c r="F307" s="110">
        <f t="shared" si="62"/>
        <v>1.1674746228734245</v>
      </c>
      <c r="G307" s="110">
        <f t="shared" si="62"/>
        <v>0.22523773667224023</v>
      </c>
      <c r="H307" s="110">
        <f t="shared" si="62"/>
        <v>9.1746532249385032E-4</v>
      </c>
      <c r="I307" s="110">
        <f t="shared" si="62"/>
        <v>1.1321522079574111</v>
      </c>
      <c r="J307" s="110">
        <f t="shared" si="62"/>
        <v>0.53258861970768001</v>
      </c>
      <c r="K307" s="275">
        <f t="shared" si="61"/>
        <v>47393.823576389092</v>
      </c>
    </row>
    <row r="308" spans="2:11" x14ac:dyDescent="0.2">
      <c r="B308" s="108">
        <f t="shared" si="63"/>
        <v>9687610</v>
      </c>
      <c r="C308" s="5">
        <v>269</v>
      </c>
      <c r="D308" s="109">
        <f t="shared" si="64"/>
        <v>4.5112687372345111</v>
      </c>
      <c r="E308" s="110">
        <f t="shared" si="65"/>
        <v>1.5036058701202624</v>
      </c>
      <c r="F308" s="110">
        <f t="shared" si="62"/>
        <v>1.1481178936261831</v>
      </c>
      <c r="G308" s="110">
        <f t="shared" si="62"/>
        <v>0.22150329499821447</v>
      </c>
      <c r="H308" s="110">
        <f t="shared" si="62"/>
        <v>9.0225374744690222E-4</v>
      </c>
      <c r="I308" s="110">
        <f t="shared" si="62"/>
        <v>1.1133811243494773</v>
      </c>
      <c r="J308" s="110">
        <f t="shared" si="62"/>
        <v>0.5237583003929267</v>
      </c>
      <c r="K308" s="275">
        <f t="shared" si="61"/>
        <v>47405.174270833537</v>
      </c>
    </row>
    <row r="309" spans="2:11" x14ac:dyDescent="0.2">
      <c r="B309" s="108">
        <f t="shared" si="63"/>
        <v>9720300</v>
      </c>
      <c r="C309" s="5">
        <v>270</v>
      </c>
      <c r="D309" s="109">
        <f t="shared" si="64"/>
        <v>4.4364719015711627</v>
      </c>
      <c r="E309" s="110">
        <f t="shared" si="65"/>
        <v>1.4786760847936684</v>
      </c>
      <c r="F309" s="110">
        <f t="shared" si="62"/>
        <v>1.1290820989498609</v>
      </c>
      <c r="G309" s="110">
        <f t="shared" si="62"/>
        <v>0.21783077036714407</v>
      </c>
      <c r="H309" s="110">
        <f t="shared" si="62"/>
        <v>8.8729438031423253E-4</v>
      </c>
      <c r="I309" s="110">
        <f t="shared" si="62"/>
        <v>1.0949212653077629</v>
      </c>
      <c r="J309" s="110">
        <f t="shared" si="62"/>
        <v>0.51507438777241199</v>
      </c>
      <c r="K309" s="275">
        <f t="shared" si="61"/>
        <v>47416.524965277982</v>
      </c>
    </row>
    <row r="310" spans="2:11" x14ac:dyDescent="0.2">
      <c r="B310" s="108">
        <f t="shared" si="63"/>
        <v>9752990</v>
      </c>
      <c r="C310" s="5">
        <v>271</v>
      </c>
      <c r="D310" s="109">
        <f t="shared" si="64"/>
        <v>4.3629151974431126</v>
      </c>
      <c r="E310" s="110">
        <f t="shared" si="65"/>
        <v>1.4541596353077895</v>
      </c>
      <c r="F310" s="110">
        <f t="shared" si="62"/>
        <v>1.1103619177492723</v>
      </c>
      <c r="G310" s="110">
        <f t="shared" si="62"/>
        <v>0.21421913619445682</v>
      </c>
      <c r="H310" s="110">
        <f t="shared" si="62"/>
        <v>8.7258303948862257E-4</v>
      </c>
      <c r="I310" s="110">
        <f t="shared" si="62"/>
        <v>1.0767674707289601</v>
      </c>
      <c r="J310" s="110">
        <f t="shared" si="62"/>
        <v>0.50653445442314537</v>
      </c>
      <c r="K310" s="275">
        <f t="shared" si="61"/>
        <v>47427.875659722427</v>
      </c>
    </row>
    <row r="311" spans="2:11" x14ac:dyDescent="0.2">
      <c r="B311" s="108">
        <f t="shared" si="63"/>
        <v>9785680</v>
      </c>
      <c r="C311" s="5">
        <v>272</v>
      </c>
      <c r="D311" s="109">
        <f t="shared" si="64"/>
        <v>4.2905780634695052</v>
      </c>
      <c r="E311" s="110">
        <f t="shared" si="65"/>
        <v>1.430049668554386</v>
      </c>
      <c r="F311" s="110">
        <f t="shared" si="62"/>
        <v>1.0919521171529891</v>
      </c>
      <c r="G311" s="110">
        <f t="shared" si="62"/>
        <v>0.2106673829163527</v>
      </c>
      <c r="H311" s="110">
        <f t="shared" si="62"/>
        <v>8.5811561269390105E-4</v>
      </c>
      <c r="I311" s="110">
        <f t="shared" si="62"/>
        <v>1.0589146660642739</v>
      </c>
      <c r="J311" s="110">
        <f t="shared" si="62"/>
        <v>0.49813611316880951</v>
      </c>
      <c r="K311" s="275">
        <f t="shared" si="61"/>
        <v>47439.226354166873</v>
      </c>
    </row>
    <row r="312" spans="2:11" x14ac:dyDescent="0.2">
      <c r="B312" s="108">
        <f t="shared" si="63"/>
        <v>9818370</v>
      </c>
      <c r="C312" s="5">
        <v>273</v>
      </c>
      <c r="D312" s="109">
        <f t="shared" si="64"/>
        <v>4.2194402791771806</v>
      </c>
      <c r="E312" s="110">
        <f t="shared" si="65"/>
        <v>1.4063394450497542</v>
      </c>
      <c r="F312" s="110">
        <f t="shared" si="62"/>
        <v>1.0738475510505925</v>
      </c>
      <c r="G312" s="110">
        <f t="shared" si="62"/>
        <v>0.20717451770759956</v>
      </c>
      <c r="H312" s="110">
        <f t="shared" si="62"/>
        <v>8.438880558354362E-4</v>
      </c>
      <c r="I312" s="110">
        <f t="shared" si="62"/>
        <v>1.0413578609009282</v>
      </c>
      <c r="J312" s="110">
        <f t="shared" si="62"/>
        <v>0.48987701641247067</v>
      </c>
      <c r="K312" s="275">
        <f t="shared" si="61"/>
        <v>47450.577048611318</v>
      </c>
    </row>
    <row r="313" spans="2:11" x14ac:dyDescent="0.2">
      <c r="B313" s="108">
        <f t="shared" si="63"/>
        <v>9851060</v>
      </c>
      <c r="C313" s="5">
        <v>274</v>
      </c>
      <c r="D313" s="109">
        <f t="shared" si="64"/>
        <v>4.1494819593484227</v>
      </c>
      <c r="E313" s="110">
        <f t="shared" si="65"/>
        <v>1.3830223370508292</v>
      </c>
      <c r="F313" s="110">
        <f t="shared" si="62"/>
        <v>1.0560431586541736</v>
      </c>
      <c r="G313" s="110">
        <f t="shared" si="62"/>
        <v>0.20373956420400754</v>
      </c>
      <c r="H313" s="110">
        <f t="shared" si="62"/>
        <v>8.2989639186968459E-4</v>
      </c>
      <c r="I313" s="110">
        <f t="shared" si="62"/>
        <v>1.0240921475671907</v>
      </c>
      <c r="J313" s="110">
        <f t="shared" si="62"/>
        <v>0.48175485548035185</v>
      </c>
      <c r="K313" s="275">
        <f t="shared" si="61"/>
        <v>47461.927743055763</v>
      </c>
    </row>
    <row r="314" spans="2:11" x14ac:dyDescent="0.2">
      <c r="B314" s="108">
        <f t="shared" si="63"/>
        <v>9883750</v>
      </c>
      <c r="C314" s="5">
        <v>275</v>
      </c>
      <c r="D314" s="109">
        <f t="shared" si="64"/>
        <v>4.0806835484624253</v>
      </c>
      <c r="E314" s="110">
        <f t="shared" si="65"/>
        <v>1.3600918267025264</v>
      </c>
      <c r="F314" s="110">
        <f t="shared" si="62"/>
        <v>1.0385339630836872</v>
      </c>
      <c r="G314" s="110">
        <f t="shared" si="62"/>
        <v>0.20036156222950507</v>
      </c>
      <c r="H314" s="110">
        <f t="shared" si="62"/>
        <v>8.1613670969248508E-4</v>
      </c>
      <c r="I314" s="110">
        <f t="shared" si="62"/>
        <v>1.0071126997605266</v>
      </c>
      <c r="J314" s="110">
        <f t="shared" si="62"/>
        <v>0.47376735997648756</v>
      </c>
      <c r="K314" s="275">
        <f t="shared" ref="K314:K377" si="66">K313+($D$22/24/60/60)*$B$22</f>
        <v>47473.278437500208</v>
      </c>
    </row>
    <row r="315" spans="2:11" x14ac:dyDescent="0.2">
      <c r="B315" s="108">
        <f t="shared" si="63"/>
        <v>9916440</v>
      </c>
      <c r="C315" s="5">
        <v>276</v>
      </c>
      <c r="D315" s="109">
        <f t="shared" si="64"/>
        <v>4.013025815228918</v>
      </c>
      <c r="E315" s="110">
        <f t="shared" si="65"/>
        <v>1.3375415042157983</v>
      </c>
      <c r="F315" s="110">
        <f t="shared" si="62"/>
        <v>1.0213150699757596</v>
      </c>
      <c r="G315" s="110">
        <f t="shared" si="62"/>
        <v>0.19703956752773988</v>
      </c>
      <c r="H315" s="110">
        <f t="shared" si="62"/>
        <v>8.0260516304578365E-4</v>
      </c>
      <c r="I315" s="110">
        <f t="shared" si="62"/>
        <v>0.99041477119849697</v>
      </c>
      <c r="J315" s="110">
        <f t="shared" si="62"/>
        <v>0.46591229714807736</v>
      </c>
      <c r="K315" s="275">
        <f t="shared" si="66"/>
        <v>47484.629131944654</v>
      </c>
    </row>
    <row r="316" spans="2:11" x14ac:dyDescent="0.2">
      <c r="B316" s="108">
        <f t="shared" si="63"/>
        <v>9949130</v>
      </c>
      <c r="C316" s="5">
        <v>277</v>
      </c>
      <c r="D316" s="109">
        <f t="shared" si="64"/>
        <v>3.9464898472124226</v>
      </c>
      <c r="E316" s="110">
        <f t="shared" si="65"/>
        <v>1.3153650660759004</v>
      </c>
      <c r="F316" s="110">
        <f t="shared" si="62"/>
        <v>1.0043816661155616</v>
      </c>
      <c r="G316" s="110">
        <f t="shared" si="62"/>
        <v>0.19377265149812994</v>
      </c>
      <c r="H316" s="110">
        <f t="shared" si="62"/>
        <v>7.8929796944248452E-4</v>
      </c>
      <c r="I316" s="110">
        <f t="shared" si="62"/>
        <v>0.97399369429202587</v>
      </c>
      <c r="J316" s="110">
        <f t="shared" si="62"/>
        <v>0.45818747126136222</v>
      </c>
      <c r="K316" s="275">
        <f t="shared" si="66"/>
        <v>47495.979826389099</v>
      </c>
    </row>
    <row r="317" spans="2:11" x14ac:dyDescent="0.2">
      <c r="B317" s="108">
        <f t="shared" si="63"/>
        <v>9981820</v>
      </c>
      <c r="C317" s="5">
        <v>278</v>
      </c>
      <c r="D317" s="109">
        <f t="shared" si="64"/>
        <v>3.8810570455456403</v>
      </c>
      <c r="E317" s="110">
        <f t="shared" si="65"/>
        <v>1.2935563132803618</v>
      </c>
      <c r="F317" s="110">
        <f t="shared" si="62"/>
        <v>0.98772901809136548</v>
      </c>
      <c r="G317" s="110">
        <f t="shared" si="62"/>
        <v>0.19055990093629094</v>
      </c>
      <c r="H317" s="110">
        <f t="shared" si="62"/>
        <v>7.7621140910912815E-4</v>
      </c>
      <c r="I317" s="110">
        <f t="shared" si="62"/>
        <v>0.95784487884066405</v>
      </c>
      <c r="J317" s="110">
        <f t="shared" si="62"/>
        <v>0.4505907229878488</v>
      </c>
      <c r="K317" s="275">
        <f t="shared" si="66"/>
        <v>47507.330520833544</v>
      </c>
    </row>
    <row r="318" spans="2:11" x14ac:dyDescent="0.2">
      <c r="B318" s="108">
        <f t="shared" si="63"/>
        <v>10014510</v>
      </c>
      <c r="C318" s="5">
        <v>279</v>
      </c>
      <c r="D318" s="109">
        <f t="shared" si="64"/>
        <v>3.8167091197304934</v>
      </c>
      <c r="E318" s="110">
        <f t="shared" si="65"/>
        <v>1.2721091496061734</v>
      </c>
      <c r="F318" s="110">
        <f t="shared" si="62"/>
        <v>0.97135247097141064</v>
      </c>
      <c r="G318" s="110">
        <f t="shared" si="62"/>
        <v>0.18740041777876723</v>
      </c>
      <c r="H318" s="110">
        <f t="shared" si="62"/>
        <v>7.633418239460987E-4</v>
      </c>
      <c r="I318" s="110">
        <f t="shared" si="62"/>
        <v>0.94196381074948576</v>
      </c>
      <c r="J318" s="110">
        <f t="shared" si="62"/>
        <v>0.44311992880071027</v>
      </c>
      <c r="K318" s="275">
        <f t="shared" si="66"/>
        <v>47518.681215277989</v>
      </c>
    </row>
    <row r="319" spans="2:11" x14ac:dyDescent="0.2">
      <c r="B319" s="108">
        <f t="shared" si="63"/>
        <v>10047200</v>
      </c>
      <c r="C319" s="5">
        <v>280</v>
      </c>
      <c r="D319" s="109">
        <f t="shared" si="64"/>
        <v>3.7534280825253616</v>
      </c>
      <c r="E319" s="110">
        <f t="shared" si="65"/>
        <v>1.2510175799057031</v>
      </c>
      <c r="F319" s="110">
        <f t="shared" si="62"/>
        <v>0.95524744700270459</v>
      </c>
      <c r="G319" s="110">
        <f t="shared" si="62"/>
        <v>0.18429331885199524</v>
      </c>
      <c r="H319" s="110">
        <f t="shared" si="62"/>
        <v>7.5068561650507232E-4</v>
      </c>
      <c r="I319" s="110">
        <f t="shared" si="62"/>
        <v>0.92634605076725918</v>
      </c>
      <c r="J319" s="110">
        <f t="shared" si="62"/>
        <v>0.43577300038119449</v>
      </c>
      <c r="K319" s="275">
        <f t="shared" si="66"/>
        <v>47530.031909722435</v>
      </c>
    </row>
    <row r="320" spans="2:11" x14ac:dyDescent="0.2">
      <c r="B320" s="108">
        <f t="shared" si="63"/>
        <v>10079890</v>
      </c>
      <c r="C320" s="5">
        <v>281</v>
      </c>
      <c r="D320" s="109">
        <f t="shared" si="64"/>
        <v>3.6911962449170912</v>
      </c>
      <c r="E320" s="110">
        <f t="shared" si="65"/>
        <v>1.2302757084308664</v>
      </c>
      <c r="F320" s="110">
        <f t="shared" si="62"/>
        <v>0.93940944433139972</v>
      </c>
      <c r="G320" s="110">
        <f t="shared" si="62"/>
        <v>0.18123773562542916</v>
      </c>
      <c r="H320" s="110">
        <f t="shared" si="62"/>
        <v>7.3823924898341832E-4</v>
      </c>
      <c r="I320" s="110">
        <f t="shared" si="62"/>
        <v>0.9109872332455381</v>
      </c>
      <c r="J320" s="110">
        <f t="shared" si="62"/>
        <v>0.42854788403487426</v>
      </c>
      <c r="K320" s="275">
        <f t="shared" si="66"/>
        <v>47541.38260416688</v>
      </c>
    </row>
    <row r="321" spans="2:11" x14ac:dyDescent="0.2">
      <c r="B321" s="108">
        <f t="shared" si="63"/>
        <v>10112580</v>
      </c>
      <c r="C321" s="5">
        <v>282</v>
      </c>
      <c r="D321" s="109">
        <f t="shared" si="64"/>
        <v>3.6299962111763655</v>
      </c>
      <c r="E321" s="110">
        <f t="shared" si="65"/>
        <v>1.2098777371850826</v>
      </c>
      <c r="F321" s="110">
        <f t="shared" si="62"/>
        <v>0.92383403574438505</v>
      </c>
      <c r="G321" s="110">
        <f t="shared" si="62"/>
        <v>0.17823281396875953</v>
      </c>
      <c r="H321" s="110">
        <f t="shared" si="62"/>
        <v>7.2599924223527314E-4</v>
      </c>
      <c r="I321" s="110">
        <f t="shared" si="62"/>
        <v>0.89588306491832692</v>
      </c>
      <c r="J321" s="110">
        <f t="shared" si="62"/>
        <v>0.42144256011757603</v>
      </c>
      <c r="K321" s="275">
        <f t="shared" si="66"/>
        <v>47552.733298611325</v>
      </c>
    </row>
    <row r="322" spans="2:11" x14ac:dyDescent="0.2">
      <c r="B322" s="108">
        <f t="shared" si="63"/>
        <v>10145270</v>
      </c>
      <c r="C322" s="5">
        <v>283</v>
      </c>
      <c r="D322" s="109">
        <f t="shared" si="64"/>
        <v>3.5698108739950611</v>
      </c>
      <c r="E322" s="110">
        <f t="shared" si="65"/>
        <v>1.1898179643025539</v>
      </c>
      <c r="F322" s="110">
        <f t="shared" si="62"/>
        <v>0.90851686743174309</v>
      </c>
      <c r="G322" s="110">
        <f t="shared" si="62"/>
        <v>0.1752777139131575</v>
      </c>
      <c r="H322" s="110">
        <f t="shared" si="62"/>
        <v>7.1396217479901224E-4</v>
      </c>
      <c r="I322" s="110">
        <f t="shared" si="62"/>
        <v>0.88102932370198106</v>
      </c>
      <c r="J322" s="110">
        <f t="shared" si="62"/>
        <v>0.4144550424708266</v>
      </c>
      <c r="K322" s="275">
        <f t="shared" si="66"/>
        <v>47564.08399305577</v>
      </c>
    </row>
    <row r="323" spans="2:11" x14ac:dyDescent="0.2">
      <c r="B323" s="108">
        <f t="shared" si="63"/>
        <v>10177960</v>
      </c>
      <c r="C323" s="5">
        <v>284</v>
      </c>
      <c r="D323" s="109">
        <f t="shared" si="64"/>
        <v>3.5106234097042228</v>
      </c>
      <c r="E323" s="110">
        <f t="shared" si="65"/>
        <v>1.1700907824544173</v>
      </c>
      <c r="F323" s="110">
        <f t="shared" si="62"/>
        <v>0.89345365776972474</v>
      </c>
      <c r="G323" s="110">
        <f t="shared" si="62"/>
        <v>0.17237160941647733</v>
      </c>
      <c r="H323" s="110">
        <f t="shared" si="62"/>
        <v>7.0212468194084455E-4</v>
      </c>
      <c r="I323" s="110">
        <f t="shared" si="62"/>
        <v>0.86642185751500211</v>
      </c>
      <c r="J323" s="110">
        <f t="shared" si="62"/>
        <v>0.40758337786666027</v>
      </c>
      <c r="K323" s="275">
        <f t="shared" si="66"/>
        <v>47575.434687500216</v>
      </c>
    </row>
    <row r="324" spans="2:11" x14ac:dyDescent="0.2">
      <c r="B324" s="108">
        <f t="shared" si="63"/>
        <v>10210650</v>
      </c>
      <c r="C324" s="5">
        <v>285</v>
      </c>
      <c r="D324" s="109">
        <f t="shared" si="64"/>
        <v>3.4524172735713266</v>
      </c>
      <c r="E324" s="110">
        <f t="shared" si="65"/>
        <v>1.150690677281323</v>
      </c>
      <c r="F324" s="110">
        <f t="shared" si="62"/>
        <v>0.87864019612390265</v>
      </c>
      <c r="G324" s="110">
        <f t="shared" si="62"/>
        <v>0.16951368813235212</v>
      </c>
      <c r="H324" s="110">
        <f t="shared" si="62"/>
        <v>6.9048345471426536E-4</v>
      </c>
      <c r="I324" s="110">
        <f t="shared" si="62"/>
        <v>0.8520565831174034</v>
      </c>
      <c r="J324" s="110">
        <f t="shared" si="62"/>
        <v>0.40082564546163102</v>
      </c>
      <c r="K324" s="275">
        <f t="shared" si="66"/>
        <v>47586.785381944661</v>
      </c>
    </row>
    <row r="325" spans="2:11" x14ac:dyDescent="0.2">
      <c r="B325" s="108">
        <f t="shared" si="63"/>
        <v>10243340</v>
      </c>
      <c r="C325" s="5">
        <v>286</v>
      </c>
      <c r="D325" s="109">
        <f t="shared" si="64"/>
        <v>3.3951761951755137</v>
      </c>
      <c r="E325" s="110">
        <f t="shared" si="65"/>
        <v>1.1316122258519987</v>
      </c>
      <c r="F325" s="110">
        <f t="shared" si="62"/>
        <v>0.86407234167216829</v>
      </c>
      <c r="G325" s="110">
        <f t="shared" si="62"/>
        <v>0.16670315118311771</v>
      </c>
      <c r="H325" s="110">
        <f t="shared" si="62"/>
        <v>6.7903523903510273E-4</v>
      </c>
      <c r="I325" s="110">
        <f t="shared" si="62"/>
        <v>0.83792948496931674</v>
      </c>
      <c r="J325" s="110">
        <f t="shared" si="62"/>
        <v>0.39417995625987712</v>
      </c>
      <c r="K325" s="275">
        <f t="shared" si="66"/>
        <v>47598.136076389106</v>
      </c>
    </row>
    <row r="326" spans="2:11" x14ac:dyDescent="0.2">
      <c r="B326" s="108">
        <f t="shared" si="63"/>
        <v>10276030</v>
      </c>
      <c r="C326" s="5">
        <v>287</v>
      </c>
      <c r="D326" s="109">
        <f t="shared" si="64"/>
        <v>3.3388841738595034</v>
      </c>
      <c r="E326" s="110">
        <f t="shared" si="65"/>
        <v>1.1128500951473725</v>
      </c>
      <c r="F326" s="110">
        <f t="shared" si="62"/>
        <v>0.8497460222472436</v>
      </c>
      <c r="G326" s="110">
        <f t="shared" si="62"/>
        <v>0.1639392129365016</v>
      </c>
      <c r="H326" s="110">
        <f t="shared" si="62"/>
        <v>6.6777683477190072E-4</v>
      </c>
      <c r="I326" s="110">
        <f t="shared" si="62"/>
        <v>0.82403661410852547</v>
      </c>
      <c r="J326" s="110">
        <f t="shared" si="62"/>
        <v>0.38764445258508834</v>
      </c>
      <c r="K326" s="275">
        <f t="shared" si="66"/>
        <v>47609.486770833551</v>
      </c>
    </row>
    <row r="327" spans="2:11" x14ac:dyDescent="0.2">
      <c r="B327" s="108">
        <f t="shared" si="63"/>
        <v>10308720</v>
      </c>
      <c r="C327" s="5">
        <v>288</v>
      </c>
      <c r="D327" s="109">
        <f t="shared" si="64"/>
        <v>3.2835254742569129</v>
      </c>
      <c r="E327" s="110">
        <f t="shared" si="65"/>
        <v>1.094399040569829</v>
      </c>
      <c r="F327" s="110">
        <f t="shared" si="62"/>
        <v>0.83565723319838436</v>
      </c>
      <c r="G327" s="110">
        <f t="shared" si="62"/>
        <v>0.16122110078601443</v>
      </c>
      <c r="H327" s="110">
        <f t="shared" si="62"/>
        <v>6.5670509485138266E-4</v>
      </c>
      <c r="I327" s="110">
        <f t="shared" si="62"/>
        <v>0.81037408704660607</v>
      </c>
      <c r="J327" s="110">
        <f t="shared" si="62"/>
        <v>0.38121730756122757</v>
      </c>
      <c r="K327" s="275">
        <f t="shared" si="66"/>
        <v>47620.837465277997</v>
      </c>
    </row>
    <row r="328" spans="2:11" x14ac:dyDescent="0.2">
      <c r="B328" s="108">
        <f t="shared" si="63"/>
        <v>10341410</v>
      </c>
      <c r="C328" s="5">
        <v>289</v>
      </c>
      <c r="D328" s="109">
        <f t="shared" si="64"/>
        <v>3.2290846218937332</v>
      </c>
      <c r="E328" s="110">
        <f t="shared" si="65"/>
        <v>1.0762539044771813</v>
      </c>
      <c r="F328" s="110">
        <f t="shared" si="62"/>
        <v>0.82180203627195514</v>
      </c>
      <c r="G328" s="110">
        <f t="shared" si="62"/>
        <v>0.15854805493498231</v>
      </c>
      <c r="H328" s="110">
        <f t="shared" si="62"/>
        <v>6.4581692437874663E-4</v>
      </c>
      <c r="I328" s="110">
        <f t="shared" si="62"/>
        <v>0.79693808468337335</v>
      </c>
      <c r="J328" s="110">
        <f t="shared" si="62"/>
        <v>0.37489672460186241</v>
      </c>
      <c r="K328" s="275">
        <f t="shared" si="66"/>
        <v>47632.188159722442</v>
      </c>
    </row>
    <row r="329" spans="2:11" x14ac:dyDescent="0.2">
      <c r="B329" s="108">
        <f t="shared" si="63"/>
        <v>10374100</v>
      </c>
      <c r="C329" s="5">
        <v>290</v>
      </c>
      <c r="D329" s="109">
        <f t="shared" si="64"/>
        <v>3.175546398862735</v>
      </c>
      <c r="E329" s="110">
        <f t="shared" si="65"/>
        <v>1.0584096147409496</v>
      </c>
      <c r="F329" s="110">
        <f t="shared" si="62"/>
        <v>0.80817655851056613</v>
      </c>
      <c r="G329" s="110">
        <f t="shared" si="62"/>
        <v>0.15591932818416029</v>
      </c>
      <c r="H329" s="110">
        <f t="shared" si="62"/>
        <v>6.3510927977254706E-4</v>
      </c>
      <c r="I329" s="110">
        <f t="shared" si="62"/>
        <v>0.78372485123932301</v>
      </c>
      <c r="J329" s="110">
        <f t="shared" si="62"/>
        <v>0.3686809369079635</v>
      </c>
      <c r="K329" s="275">
        <f t="shared" si="66"/>
        <v>47643.538854166887</v>
      </c>
    </row>
    <row r="330" spans="2:11" x14ac:dyDescent="0.2">
      <c r="B330" s="108">
        <f t="shared" si="63"/>
        <v>10406790</v>
      </c>
      <c r="C330" s="5">
        <v>291</v>
      </c>
      <c r="D330" s="109">
        <f t="shared" si="64"/>
        <v>3.1228958395695909</v>
      </c>
      <c r="E330" s="110">
        <f t="shared" si="65"/>
        <v>1.0408611833285446</v>
      </c>
      <c r="F330" s="110">
        <f t="shared" si="62"/>
        <v>0.79477699117046086</v>
      </c>
      <c r="G330" s="110">
        <f t="shared" si="62"/>
        <v>0.15333418572286692</v>
      </c>
      <c r="H330" s="110">
        <f t="shared" si="62"/>
        <v>6.2457916791391823E-4</v>
      </c>
      <c r="I330" s="110">
        <f t="shared" si="62"/>
        <v>0.77073069320577503</v>
      </c>
      <c r="J330" s="110">
        <f t="shared" si="62"/>
        <v>0.36256820697402947</v>
      </c>
      <c r="K330" s="275">
        <f t="shared" si="66"/>
        <v>47654.889548611332</v>
      </c>
    </row>
    <row r="331" spans="2:11" x14ac:dyDescent="0.2">
      <c r="B331" s="108">
        <f t="shared" si="63"/>
        <v>10439480</v>
      </c>
      <c r="C331" s="5">
        <v>292</v>
      </c>
      <c r="D331" s="109">
        <f t="shared" si="64"/>
        <v>3.0711182265495269</v>
      </c>
      <c r="E331" s="110">
        <f t="shared" si="65"/>
        <v>1.0236037049089572</v>
      </c>
      <c r="F331" s="110">
        <f t="shared" si="62"/>
        <v>0.78159958865685464</v>
      </c>
      <c r="G331" s="110">
        <f t="shared" si="62"/>
        <v>0.15079190492358177</v>
      </c>
      <c r="H331" s="110">
        <f t="shared" si="62"/>
        <v>6.1422364530990545E-4</v>
      </c>
      <c r="I331" s="110">
        <f t="shared" si="62"/>
        <v>0.75795197831242322</v>
      </c>
      <c r="J331" s="110">
        <f t="shared" si="62"/>
        <v>0.35655682610240008</v>
      </c>
      <c r="K331" s="275">
        <f t="shared" si="66"/>
        <v>47666.240243055778</v>
      </c>
    </row>
    <row r="332" spans="2:11" x14ac:dyDescent="0.2">
      <c r="B332" s="108">
        <f t="shared" si="63"/>
        <v>10472170</v>
      </c>
      <c r="C332" s="5">
        <v>293</v>
      </c>
      <c r="D332" s="109">
        <f t="shared" si="64"/>
        <v>3.0201990863533354</v>
      </c>
      <c r="E332" s="110">
        <f t="shared" si="65"/>
        <v>1.0066323554815666</v>
      </c>
      <c r="F332" s="110">
        <f t="shared" ref="F332:J382" si="67">$D332*F$37</f>
        <v>0.76864066747692383</v>
      </c>
      <c r="G332" s="110">
        <f t="shared" si="67"/>
        <v>0.14829177513994876</v>
      </c>
      <c r="H332" s="110">
        <f t="shared" si="67"/>
        <v>6.0403981727066717E-4</v>
      </c>
      <c r="I332" s="110">
        <f t="shared" si="67"/>
        <v>0.74538513451200317</v>
      </c>
      <c r="J332" s="110">
        <f t="shared" si="67"/>
        <v>0.35064511392562225</v>
      </c>
      <c r="K332" s="275">
        <f t="shared" si="66"/>
        <v>47677.590937500223</v>
      </c>
    </row>
    <row r="333" spans="2:11" x14ac:dyDescent="0.2">
      <c r="B333" s="108">
        <f t="shared" si="63"/>
        <v>10504860</v>
      </c>
      <c r="C333" s="5">
        <v>294</v>
      </c>
      <c r="D333" s="109">
        <f t="shared" si="64"/>
        <v>2.970124185501597</v>
      </c>
      <c r="E333" s="110">
        <f t="shared" si="65"/>
        <v>0.98994239102768222</v>
      </c>
      <c r="F333" s="110">
        <f t="shared" si="67"/>
        <v>0.75589660521015645</v>
      </c>
      <c r="G333" s="110">
        <f t="shared" si="67"/>
        <v>0.1458330975081284</v>
      </c>
      <c r="H333" s="110">
        <f t="shared" si="67"/>
        <v>5.9402483710031947E-4</v>
      </c>
      <c r="I333" s="110">
        <f t="shared" si="67"/>
        <v>0.73302664898179415</v>
      </c>
      <c r="J333" s="110">
        <f t="shared" si="67"/>
        <v>0.34483141793673538</v>
      </c>
      <c r="K333" s="275">
        <f t="shared" si="66"/>
        <v>47688.941631944668</v>
      </c>
    </row>
    <row r="334" spans="2:11" x14ac:dyDescent="0.2">
      <c r="B334" s="108">
        <f t="shared" si="63"/>
        <v>10537550</v>
      </c>
      <c r="C334" s="5">
        <v>295</v>
      </c>
      <c r="D334" s="109">
        <f t="shared" si="64"/>
        <v>2.9208795265059804</v>
      </c>
      <c r="E334" s="110">
        <f t="shared" si="65"/>
        <v>0.97352914618444319</v>
      </c>
      <c r="F334" s="110">
        <f t="shared" si="67"/>
        <v>0.74336383949577201</v>
      </c>
      <c r="G334" s="110">
        <f t="shared" si="67"/>
        <v>0.14341518475144363</v>
      </c>
      <c r="H334" s="110">
        <f t="shared" si="67"/>
        <v>5.8417590530119613E-4</v>
      </c>
      <c r="I334" s="110">
        <f t="shared" si="67"/>
        <v>0.72087306714167598</v>
      </c>
      <c r="J334" s="110">
        <f t="shared" si="67"/>
        <v>0.33911411302734429</v>
      </c>
      <c r="K334" s="275">
        <f t="shared" si="66"/>
        <v>47700.292326389113</v>
      </c>
    </row>
    <row r="335" spans="2:11" x14ac:dyDescent="0.2">
      <c r="B335" s="108">
        <f t="shared" si="63"/>
        <v>10570240</v>
      </c>
      <c r="C335" s="5">
        <v>296</v>
      </c>
      <c r="D335" s="109">
        <f t="shared" si="64"/>
        <v>2.8724513439565111</v>
      </c>
      <c r="E335" s="110">
        <f t="shared" si="65"/>
        <v>0.95738803294070507</v>
      </c>
      <c r="F335" s="110">
        <f t="shared" si="67"/>
        <v>0.73103886703693211</v>
      </c>
      <c r="G335" s="110">
        <f t="shared" si="67"/>
        <v>0.14103736098826469</v>
      </c>
      <c r="H335" s="110">
        <f t="shared" si="67"/>
        <v>5.7449026879130224E-4</v>
      </c>
      <c r="I335" s="110">
        <f t="shared" si="67"/>
        <v>0.70892099168846689</v>
      </c>
      <c r="J335" s="110">
        <f t="shared" si="67"/>
        <v>0.3334916010333509</v>
      </c>
      <c r="K335" s="275">
        <f t="shared" si="66"/>
        <v>47711.643020833559</v>
      </c>
    </row>
    <row r="336" spans="2:11" x14ac:dyDescent="0.2">
      <c r="B336" s="108">
        <f t="shared" si="63"/>
        <v>10602930</v>
      </c>
      <c r="C336" s="5">
        <v>297</v>
      </c>
      <c r="D336" s="109">
        <f t="shared" si="64"/>
        <v>2.8248261006737119</v>
      </c>
      <c r="E336" s="110">
        <f t="shared" si="65"/>
        <v>0.9415145393545481</v>
      </c>
      <c r="F336" s="110">
        <f t="shared" si="67"/>
        <v>0.71891824262145965</v>
      </c>
      <c r="G336" s="110">
        <f t="shared" si="67"/>
        <v>0.13869896154307926</v>
      </c>
      <c r="H336" s="110">
        <f t="shared" si="67"/>
        <v>5.6496522013474242E-4</v>
      </c>
      <c r="I336" s="110">
        <f t="shared" si="67"/>
        <v>0.69716708164627206</v>
      </c>
      <c r="J336" s="110">
        <f t="shared" si="67"/>
        <v>0.32796231028821793</v>
      </c>
      <c r="K336" s="275">
        <f t="shared" si="66"/>
        <v>47722.993715278004</v>
      </c>
    </row>
    <row r="337" spans="2:11" x14ac:dyDescent="0.2">
      <c r="B337" s="108">
        <f t="shared" si="63"/>
        <v>10635620</v>
      </c>
      <c r="C337" s="5">
        <v>298</v>
      </c>
      <c r="D337" s="109">
        <f t="shared" si="64"/>
        <v>2.7779904839245417</v>
      </c>
      <c r="E337" s="110">
        <f t="shared" si="65"/>
        <v>0.92590422829204977</v>
      </c>
      <c r="F337" s="110">
        <f t="shared" si="67"/>
        <v>0.70699857815879585</v>
      </c>
      <c r="G337" s="110">
        <f t="shared" si="67"/>
        <v>0.13639933276069499</v>
      </c>
      <c r="H337" s="110">
        <f t="shared" si="67"/>
        <v>5.5559809678490835E-4</v>
      </c>
      <c r="I337" s="110">
        <f t="shared" si="67"/>
        <v>0.68560805143257686</v>
      </c>
      <c r="J337" s="110">
        <f t="shared" si="67"/>
        <v>0.3225246951836393</v>
      </c>
      <c r="K337" s="275">
        <f t="shared" si="66"/>
        <v>47734.344409722449</v>
      </c>
    </row>
    <row r="338" spans="2:11" x14ac:dyDescent="0.2">
      <c r="B338" s="108">
        <f t="shared" si="63"/>
        <v>10668310</v>
      </c>
      <c r="C338" s="5">
        <v>299</v>
      </c>
      <c r="D338" s="109">
        <f t="shared" si="64"/>
        <v>2.7319314017010727</v>
      </c>
      <c r="E338" s="110">
        <f t="shared" si="65"/>
        <v>0.91055273618696753</v>
      </c>
      <c r="F338" s="110">
        <f t="shared" si="67"/>
        <v>0.69527654173292297</v>
      </c>
      <c r="G338" s="110">
        <f t="shared" si="67"/>
        <v>0.13413783182352265</v>
      </c>
      <c r="H338" s="110">
        <f t="shared" si="67"/>
        <v>5.4638628034021453E-4</v>
      </c>
      <c r="I338" s="110">
        <f t="shared" si="67"/>
        <v>0.67424066993982468</v>
      </c>
      <c r="J338" s="110">
        <f t="shared" si="67"/>
        <v>0.31717723573749451</v>
      </c>
      <c r="K338" s="275">
        <f t="shared" si="66"/>
        <v>47745.695104166894</v>
      </c>
    </row>
    <row r="339" spans="2:11" x14ac:dyDescent="0.2">
      <c r="B339" s="108">
        <f t="shared" si="63"/>
        <v>10701000</v>
      </c>
      <c r="C339" s="5">
        <v>300</v>
      </c>
      <c r="D339" s="109">
        <f t="shared" si="64"/>
        <v>2.6866359790608687</v>
      </c>
      <c r="E339" s="110">
        <f t="shared" si="65"/>
        <v>0.89545577182098746</v>
      </c>
      <c r="F339" s="110">
        <f t="shared" si="67"/>
        <v>0.68374885667099106</v>
      </c>
      <c r="G339" s="110">
        <f t="shared" si="67"/>
        <v>0.13191382657188866</v>
      </c>
      <c r="H339" s="110">
        <f t="shared" si="67"/>
        <v>5.3732719581217375E-4</v>
      </c>
      <c r="I339" s="110">
        <f t="shared" si="67"/>
        <v>0.66306175963222236</v>
      </c>
      <c r="J339" s="110">
        <f t="shared" si="67"/>
        <v>0.31191843716896683</v>
      </c>
      <c r="K339" s="275">
        <f t="shared" si="66"/>
        <v>47757.04579861134</v>
      </c>
    </row>
    <row r="340" spans="2:11" x14ac:dyDescent="0.2">
      <c r="B340" s="108">
        <f t="shared" si="63"/>
        <v>10733690</v>
      </c>
      <c r="C340" s="5">
        <v>301</v>
      </c>
      <c r="D340" s="109">
        <f t="shared" si="64"/>
        <v>2.6420915545280392</v>
      </c>
      <c r="E340" s="110">
        <f t="shared" si="65"/>
        <v>0.88060911512419549</v>
      </c>
      <c r="F340" s="110">
        <f t="shared" si="67"/>
        <v>0.67241230062738599</v>
      </c>
      <c r="G340" s="110">
        <f t="shared" si="67"/>
        <v>0.12972669532732672</v>
      </c>
      <c r="H340" s="110">
        <f t="shared" si="67"/>
        <v>5.2841831090560791E-4</v>
      </c>
      <c r="I340" s="110">
        <f t="shared" si="67"/>
        <v>0.65206819565752006</v>
      </c>
      <c r="J340" s="110">
        <f t="shared" si="67"/>
        <v>0.30674682948070536</v>
      </c>
      <c r="K340" s="275">
        <f t="shared" si="66"/>
        <v>47768.396493055785</v>
      </c>
    </row>
    <row r="341" spans="2:11" x14ac:dyDescent="0.2">
      <c r="B341" s="108">
        <f t="shared" si="63"/>
        <v>10766380</v>
      </c>
      <c r="C341" s="5">
        <v>302</v>
      </c>
      <c r="D341" s="109">
        <f t="shared" si="64"/>
        <v>2.5982856765539641</v>
      </c>
      <c r="E341" s="110">
        <f t="shared" si="65"/>
        <v>0.86600861599543622</v>
      </c>
      <c r="F341" s="110">
        <f t="shared" si="67"/>
        <v>0.6612637046829839</v>
      </c>
      <c r="G341" s="110">
        <f t="shared" si="67"/>
        <v>0.12757582671879963</v>
      </c>
      <c r="H341" s="110">
        <f t="shared" si="67"/>
        <v>5.1965713531079282E-4</v>
      </c>
      <c r="I341" s="110">
        <f t="shared" si="67"/>
        <v>0.64125690497351828</v>
      </c>
      <c r="J341" s="110">
        <f t="shared" si="67"/>
        <v>0.30166096704791523</v>
      </c>
      <c r="K341" s="275">
        <f t="shared" si="66"/>
        <v>47779.74718750023</v>
      </c>
    </row>
    <row r="342" spans="2:11" x14ac:dyDescent="0.2">
      <c r="B342" s="108">
        <f t="shared" si="63"/>
        <v>10799070</v>
      </c>
      <c r="C342" s="5">
        <v>303</v>
      </c>
      <c r="D342" s="109">
        <f t="shared" si="64"/>
        <v>2.5552061000366995</v>
      </c>
      <c r="E342" s="110">
        <f t="shared" si="65"/>
        <v>0.85165019314223189</v>
      </c>
      <c r="F342" s="110">
        <f t="shared" si="67"/>
        <v>0.65029995245934002</v>
      </c>
      <c r="G342" s="110">
        <f t="shared" si="67"/>
        <v>0.12546061951180193</v>
      </c>
      <c r="H342" s="110">
        <f t="shared" si="67"/>
        <v>5.1104122000733988E-4</v>
      </c>
      <c r="I342" s="110">
        <f t="shared" si="67"/>
        <v>0.63062486548905738</v>
      </c>
      <c r="J342" s="110">
        <f t="shared" si="67"/>
        <v>0.29665942821426078</v>
      </c>
      <c r="K342" s="275">
        <f t="shared" si="66"/>
        <v>47791.097881944675</v>
      </c>
    </row>
    <row r="343" spans="2:11" x14ac:dyDescent="0.2">
      <c r="B343" s="108">
        <f t="shared" si="63"/>
        <v>10831760</v>
      </c>
      <c r="C343" s="5">
        <v>304</v>
      </c>
      <c r="D343" s="109">
        <f t="shared" si="64"/>
        <v>2.512840782898091</v>
      </c>
      <c r="E343" s="110">
        <f t="shared" si="65"/>
        <v>0.83752983293993366</v>
      </c>
      <c r="F343" s="110">
        <f t="shared" si="67"/>
        <v>0.63951797924756415</v>
      </c>
      <c r="G343" s="110">
        <f t="shared" si="67"/>
        <v>0.12338048244029626</v>
      </c>
      <c r="H343" s="110">
        <f t="shared" si="67"/>
        <v>5.025681565796182E-4</v>
      </c>
      <c r="I343" s="110">
        <f t="shared" si="67"/>
        <v>0.62016910521924884</v>
      </c>
      <c r="J343" s="110">
        <f t="shared" si="67"/>
        <v>0.29174081489446835</v>
      </c>
      <c r="K343" s="275">
        <f t="shared" si="66"/>
        <v>47802.448576389121</v>
      </c>
    </row>
    <row r="344" spans="2:11" x14ac:dyDescent="0.2">
      <c r="B344" s="108">
        <f t="shared" si="63"/>
        <v>10864450</v>
      </c>
      <c r="C344" s="5">
        <v>305</v>
      </c>
      <c r="D344" s="109">
        <f t="shared" si="64"/>
        <v>2.4711778827176407</v>
      </c>
      <c r="E344" s="110">
        <f t="shared" si="65"/>
        <v>0.82364358830978956</v>
      </c>
      <c r="F344" s="110">
        <f t="shared" si="67"/>
        <v>0.62891477115163952</v>
      </c>
      <c r="G344" s="110">
        <f t="shared" si="67"/>
        <v>0.12133483404143615</v>
      </c>
      <c r="H344" s="110">
        <f t="shared" si="67"/>
        <v>4.9423557654352818E-4</v>
      </c>
      <c r="I344" s="110">
        <f t="shared" si="67"/>
        <v>0.60988670145471369</v>
      </c>
      <c r="J344" s="110">
        <f t="shared" si="67"/>
        <v>0.2869037521835181</v>
      </c>
      <c r="K344" s="275">
        <f t="shared" si="66"/>
        <v>47813.799270833566</v>
      </c>
    </row>
    <row r="345" spans="2:11" x14ac:dyDescent="0.2">
      <c r="B345" s="108">
        <f t="shared" si="63"/>
        <v>10897140</v>
      </c>
      <c r="C345" s="5">
        <v>306</v>
      </c>
      <c r="D345" s="109">
        <f t="shared" si="64"/>
        <v>2.4302057534221819</v>
      </c>
      <c r="E345" s="110">
        <f t="shared" si="65"/>
        <v>0.80998757761561324</v>
      </c>
      <c r="F345" s="110">
        <f t="shared" si="67"/>
        <v>0.6184873642459453</v>
      </c>
      <c r="G345" s="110">
        <f t="shared" si="67"/>
        <v>0.11932310249302913</v>
      </c>
      <c r="H345" s="110">
        <f t="shared" si="67"/>
        <v>4.8604115068443638E-4</v>
      </c>
      <c r="I345" s="110">
        <f t="shared" si="67"/>
        <v>0.59977477994459449</v>
      </c>
      <c r="J345" s="110">
        <f t="shared" si="67"/>
        <v>0.2821468879723153</v>
      </c>
      <c r="K345" s="275">
        <f t="shared" si="66"/>
        <v>47825.149965278011</v>
      </c>
    </row>
    <row r="346" spans="2:11" x14ac:dyDescent="0.2">
      <c r="B346" s="108">
        <f t="shared" si="63"/>
        <v>10929830</v>
      </c>
      <c r="C346" s="5">
        <v>307</v>
      </c>
      <c r="D346" s="109">
        <f t="shared" si="64"/>
        <v>2.3899129420304419</v>
      </c>
      <c r="E346" s="110">
        <f t="shared" si="65"/>
        <v>0.7965579835787463</v>
      </c>
      <c r="F346" s="110">
        <f t="shared" si="67"/>
        <v>0.60823284374674746</v>
      </c>
      <c r="G346" s="110">
        <f t="shared" si="67"/>
        <v>0.11734472545369469</v>
      </c>
      <c r="H346" s="110">
        <f t="shared" si="67"/>
        <v>4.779825884060884E-4</v>
      </c>
      <c r="I346" s="110">
        <f t="shared" si="67"/>
        <v>0.58983051409311305</v>
      </c>
      <c r="J346" s="110">
        <f t="shared" si="67"/>
        <v>0.27746889256973428</v>
      </c>
      <c r="K346" s="275">
        <f t="shared" si="66"/>
        <v>47836.500659722456</v>
      </c>
    </row>
    <row r="347" spans="2:11" x14ac:dyDescent="0.2">
      <c r="B347" s="108">
        <f t="shared" si="63"/>
        <v>10962520</v>
      </c>
      <c r="C347" s="5">
        <v>308</v>
      </c>
      <c r="D347" s="109">
        <f t="shared" si="64"/>
        <v>2.3502881854515771</v>
      </c>
      <c r="E347" s="110">
        <f t="shared" si="65"/>
        <v>0.78335105221101065</v>
      </c>
      <c r="F347" s="110">
        <f t="shared" si="67"/>
        <v>0.59814834319742638</v>
      </c>
      <c r="G347" s="110">
        <f t="shared" si="67"/>
        <v>0.11539914990567243</v>
      </c>
      <c r="H347" s="110">
        <f t="shared" si="67"/>
        <v>4.7005763709031547E-4</v>
      </c>
      <c r="I347" s="110">
        <f t="shared" si="67"/>
        <v>0.58005112416944926</v>
      </c>
      <c r="J347" s="110">
        <f t="shared" si="67"/>
        <v>0.2728684583309281</v>
      </c>
      <c r="K347" s="275">
        <f t="shared" si="66"/>
        <v>47847.851354166902</v>
      </c>
    </row>
    <row r="348" spans="2:11" x14ac:dyDescent="0.2">
      <c r="B348" s="108">
        <f t="shared" si="63"/>
        <v>10995210</v>
      </c>
      <c r="C348" s="5">
        <v>309</v>
      </c>
      <c r="D348" s="109">
        <f t="shared" si="64"/>
        <v>2.3113204073367899</v>
      </c>
      <c r="E348" s="110">
        <f t="shared" si="65"/>
        <v>0.770363091765352</v>
      </c>
      <c r="F348" s="110">
        <f t="shared" si="67"/>
        <v>0.58823104366721302</v>
      </c>
      <c r="G348" s="110">
        <f t="shared" si="67"/>
        <v>0.11348583200023638</v>
      </c>
      <c r="H348" s="110">
        <f t="shared" si="67"/>
        <v>4.6226408146735802E-4</v>
      </c>
      <c r="I348" s="110">
        <f t="shared" si="67"/>
        <v>0.57043387653071975</v>
      </c>
      <c r="J348" s="110">
        <f t="shared" si="67"/>
        <v>0.26834429929180131</v>
      </c>
      <c r="K348" s="275">
        <f t="shared" si="66"/>
        <v>47859.202048611347</v>
      </c>
    </row>
    <row r="349" spans="2:11" x14ac:dyDescent="0.2">
      <c r="B349" s="108">
        <f t="shared" si="63"/>
        <v>11027900</v>
      </c>
      <c r="C349" s="5">
        <v>310</v>
      </c>
      <c r="D349" s="109">
        <f t="shared" si="64"/>
        <v>2.2729987149831459</v>
      </c>
      <c r="E349" s="110">
        <f t="shared" si="65"/>
        <v>0.7575904717038825</v>
      </c>
      <c r="F349" s="110">
        <f t="shared" si="67"/>
        <v>0.57847817296321058</v>
      </c>
      <c r="G349" s="110">
        <f t="shared" si="67"/>
        <v>0.11160423690567246</v>
      </c>
      <c r="H349" s="110">
        <f t="shared" si="67"/>
        <v>4.545997429966292E-4</v>
      </c>
      <c r="I349" s="110">
        <f t="shared" si="67"/>
        <v>0.5609760828578404</v>
      </c>
      <c r="J349" s="110">
        <f t="shared" si="67"/>
        <v>0.26389515080954323</v>
      </c>
      <c r="K349" s="275">
        <f t="shared" si="66"/>
        <v>47870.552743055792</v>
      </c>
    </row>
    <row r="350" spans="2:11" x14ac:dyDescent="0.2">
      <c r="B350" s="108">
        <f t="shared" si="63"/>
        <v>11060590</v>
      </c>
      <c r="C350" s="5">
        <v>311</v>
      </c>
      <c r="D350" s="109">
        <f t="shared" si="64"/>
        <v>2.2353123962887254</v>
      </c>
      <c r="E350" s="110">
        <f t="shared" si="65"/>
        <v>0.74502962168303211</v>
      </c>
      <c r="F350" s="110">
        <f t="shared" si="67"/>
        <v>0.5688870048554806</v>
      </c>
      <c r="G350" s="110">
        <f t="shared" si="67"/>
        <v>0.10975383865777641</v>
      </c>
      <c r="H350" s="110">
        <f t="shared" si="67"/>
        <v>4.4706247925774511E-4</v>
      </c>
      <c r="I350" s="110">
        <f t="shared" si="67"/>
        <v>0.55167509940405735</v>
      </c>
      <c r="J350" s="110">
        <f t="shared" si="67"/>
        <v>0.25951976920912101</v>
      </c>
      <c r="K350" s="275">
        <f t="shared" si="66"/>
        <v>47881.903437500237</v>
      </c>
    </row>
    <row r="351" spans="2:11" x14ac:dyDescent="0.2">
      <c r="B351" s="108">
        <f t="shared" si="63"/>
        <v>11093280</v>
      </c>
      <c r="C351" s="5">
        <v>312</v>
      </c>
      <c r="D351" s="109">
        <f t="shared" si="64"/>
        <v>2.198250916758258</v>
      </c>
      <c r="E351" s="110">
        <f t="shared" si="65"/>
        <v>0.73267703055552735</v>
      </c>
      <c r="F351" s="110">
        <f t="shared" si="67"/>
        <v>0.55945485831497666</v>
      </c>
      <c r="G351" s="110">
        <f t="shared" si="67"/>
        <v>0.10793412001283047</v>
      </c>
      <c r="H351" s="110">
        <f t="shared" si="67"/>
        <v>4.396501833516516E-4</v>
      </c>
      <c r="I351" s="110">
        <f t="shared" si="67"/>
        <v>0.54252832625593805</v>
      </c>
      <c r="J351" s="110">
        <f t="shared" si="67"/>
        <v>0.25521693143563373</v>
      </c>
      <c r="K351" s="275">
        <f t="shared" si="66"/>
        <v>47893.254131944683</v>
      </c>
    </row>
    <row r="352" spans="2:11" x14ac:dyDescent="0.2">
      <c r="B352" s="108">
        <f t="shared" si="63"/>
        <v>11125970</v>
      </c>
      <c r="C352" s="5">
        <v>313</v>
      </c>
      <c r="D352" s="109">
        <f t="shared" si="64"/>
        <v>2.161803916558406</v>
      </c>
      <c r="E352" s="110">
        <f t="shared" si="65"/>
        <v>0.72052924538891672</v>
      </c>
      <c r="F352" s="110">
        <f t="shared" si="67"/>
        <v>0.55017909676411436</v>
      </c>
      <c r="G352" s="110">
        <f t="shared" si="67"/>
        <v>0.10614457230301773</v>
      </c>
      <c r="H352" s="110">
        <f t="shared" si="67"/>
        <v>4.3236078331168121E-4</v>
      </c>
      <c r="I352" s="110">
        <f t="shared" si="67"/>
        <v>0.53353320660661463</v>
      </c>
      <c r="J352" s="110">
        <f t="shared" si="67"/>
        <v>0.2509854347124309</v>
      </c>
      <c r="K352" s="275">
        <f t="shared" si="66"/>
        <v>47904.604826389128</v>
      </c>
    </row>
    <row r="353" spans="2:11" x14ac:dyDescent="0.2">
      <c r="B353" s="108">
        <f t="shared" si="63"/>
        <v>11158660</v>
      </c>
      <c r="C353" s="5">
        <v>314</v>
      </c>
      <c r="D353" s="109">
        <f t="shared" si="64"/>
        <v>2.1259612076218675</v>
      </c>
      <c r="E353" s="110">
        <f t="shared" si="65"/>
        <v>0.70858287050036839</v>
      </c>
      <c r="F353" s="110">
        <f t="shared" si="67"/>
        <v>0.5410571273397653</v>
      </c>
      <c r="G353" s="110">
        <f t="shared" si="67"/>
        <v>0.10438469529423369</v>
      </c>
      <c r="H353" s="110">
        <f t="shared" si="67"/>
        <v>4.2519224152437349E-4</v>
      </c>
      <c r="I353" s="110">
        <f t="shared" si="67"/>
        <v>0.52468722604107687</v>
      </c>
      <c r="J353" s="110">
        <f t="shared" si="67"/>
        <v>0.24682409620489881</v>
      </c>
      <c r="K353" s="275">
        <f t="shared" si="66"/>
        <v>47915.955520833573</v>
      </c>
    </row>
    <row r="354" spans="2:11" x14ac:dyDescent="0.2">
      <c r="B354" s="108">
        <f t="shared" si="63"/>
        <v>11191350</v>
      </c>
      <c r="C354" s="5">
        <v>315</v>
      </c>
      <c r="D354" s="109">
        <f t="shared" si="64"/>
        <v>2.090712770799497</v>
      </c>
      <c r="E354" s="110">
        <f t="shared" si="65"/>
        <v>0.69683456650747233</v>
      </c>
      <c r="F354" s="110">
        <f t="shared" si="67"/>
        <v>0.53208640016847197</v>
      </c>
      <c r="G354" s="110">
        <f t="shared" si="67"/>
        <v>0.1026539970462553</v>
      </c>
      <c r="H354" s="110">
        <f t="shared" si="67"/>
        <v>4.1814255415989943E-4</v>
      </c>
      <c r="I354" s="110">
        <f t="shared" si="67"/>
        <v>0.51598791183331583</v>
      </c>
      <c r="J354" s="110">
        <f t="shared" si="67"/>
        <v>0.24273175268982158</v>
      </c>
      <c r="K354" s="275">
        <f t="shared" si="66"/>
        <v>47927.306215278018</v>
      </c>
    </row>
    <row r="355" spans="2:11" x14ac:dyDescent="0.2">
      <c r="B355" s="108">
        <f t="shared" si="63"/>
        <v>11224040</v>
      </c>
      <c r="C355" s="5">
        <v>316</v>
      </c>
      <c r="D355" s="109">
        <f t="shared" si="64"/>
        <v>2.0560487530596414</v>
      </c>
      <c r="E355" s="110">
        <f t="shared" si="65"/>
        <v>0.68528104939477841</v>
      </c>
      <c r="F355" s="110">
        <f t="shared" si="67"/>
        <v>0.52326440765367876</v>
      </c>
      <c r="G355" s="110">
        <f t="shared" si="67"/>
        <v>0.10095199377522839</v>
      </c>
      <c r="H355" s="110">
        <f t="shared" si="67"/>
        <v>4.112097506119283E-4</v>
      </c>
      <c r="I355" s="110">
        <f t="shared" si="67"/>
        <v>0.50743283225511948</v>
      </c>
      <c r="J355" s="110">
        <f t="shared" si="67"/>
        <v>0.23870726023022434</v>
      </c>
      <c r="K355" s="275">
        <f t="shared" si="66"/>
        <v>47938.656909722464</v>
      </c>
    </row>
    <row r="356" spans="2:11" x14ac:dyDescent="0.2">
      <c r="B356" s="108">
        <f t="shared" si="63"/>
        <v>11256730</v>
      </c>
      <c r="C356" s="5">
        <v>317</v>
      </c>
      <c r="D356" s="109">
        <f t="shared" si="64"/>
        <v>2.0219594647339125</v>
      </c>
      <c r="E356" s="110">
        <f t="shared" si="65"/>
        <v>0.67391908959581304</v>
      </c>
      <c r="F356" s="110">
        <f t="shared" si="67"/>
        <v>0.51458868377478073</v>
      </c>
      <c r="G356" s="110">
        <f t="shared" si="67"/>
        <v>9.9278209718435095E-2</v>
      </c>
      <c r="H356" s="110">
        <f t="shared" si="67"/>
        <v>4.0439189294678253E-4</v>
      </c>
      <c r="I356" s="110">
        <f t="shared" si="67"/>
        <v>0.4990195958963296</v>
      </c>
      <c r="J356" s="110">
        <f t="shared" si="67"/>
        <v>0.23474949385560723</v>
      </c>
      <c r="K356" s="275">
        <f t="shared" si="66"/>
        <v>47950.007604166909</v>
      </c>
    </row>
    <row r="357" spans="2:11" x14ac:dyDescent="0.2">
      <c r="B357" s="108">
        <f t="shared" si="63"/>
        <v>11289420</v>
      </c>
      <c r="C357" s="5">
        <v>318</v>
      </c>
      <c r="D357" s="109">
        <f t="shared" si="64"/>
        <v>1.9884353768086243</v>
      </c>
      <c r="E357" s="110">
        <f t="shared" si="65"/>
        <v>0.66274551109031443</v>
      </c>
      <c r="F357" s="110">
        <f t="shared" si="67"/>
        <v>0.50605680339779491</v>
      </c>
      <c r="G357" s="110">
        <f t="shared" si="67"/>
        <v>9.7632177001303444E-2</v>
      </c>
      <c r="H357" s="110">
        <f t="shared" si="67"/>
        <v>3.9768707536172487E-4</v>
      </c>
      <c r="I357" s="110">
        <f t="shared" si="67"/>
        <v>0.49074585099636847</v>
      </c>
      <c r="J357" s="110">
        <f t="shared" si="67"/>
        <v>0.23085734724748128</v>
      </c>
      <c r="K357" s="275">
        <f t="shared" si="66"/>
        <v>47961.358298611354</v>
      </c>
    </row>
    <row r="358" spans="2:11" x14ac:dyDescent="0.2">
      <c r="B358" s="108">
        <f t="shared" si="63"/>
        <v>11322110</v>
      </c>
      <c r="C358" s="5">
        <v>319</v>
      </c>
      <c r="D358" s="109">
        <f t="shared" si="64"/>
        <v>1.9554671182611372</v>
      </c>
      <c r="E358" s="110">
        <f t="shared" si="65"/>
        <v>0.65175719051643699</v>
      </c>
      <c r="F358" s="110">
        <f t="shared" si="67"/>
        <v>0.49766638159745941</v>
      </c>
      <c r="G358" s="110">
        <f t="shared" si="67"/>
        <v>9.6013435506621836E-2</v>
      </c>
      <c r="H358" s="110">
        <f t="shared" si="67"/>
        <v>3.9109342365222747E-4</v>
      </c>
      <c r="I358" s="110">
        <f t="shared" si="67"/>
        <v>0.48260928478684861</v>
      </c>
      <c r="J358" s="110">
        <f t="shared" si="67"/>
        <v>0.22702973243011801</v>
      </c>
      <c r="K358" s="275">
        <f t="shared" si="66"/>
        <v>47972.7089930558</v>
      </c>
    </row>
    <row r="359" spans="2:11" x14ac:dyDescent="0.2">
      <c r="B359" s="108">
        <f t="shared" si="63"/>
        <v>11354800</v>
      </c>
      <c r="C359" s="5">
        <v>320</v>
      </c>
      <c r="D359" s="109">
        <f t="shared" si="64"/>
        <v>1.9230454734403675</v>
      </c>
      <c r="E359" s="110">
        <f t="shared" si="65"/>
        <v>0.64095105629767446</v>
      </c>
      <c r="F359" s="110">
        <f t="shared" si="67"/>
        <v>0.48941507299057352</v>
      </c>
      <c r="G359" s="110">
        <f t="shared" si="67"/>
        <v>9.4421532745922035E-2</v>
      </c>
      <c r="H359" s="110">
        <f t="shared" si="67"/>
        <v>3.8460909468807352E-4</v>
      </c>
      <c r="I359" s="110">
        <f t="shared" si="67"/>
        <v>0.47460762284508268</v>
      </c>
      <c r="J359" s="110">
        <f t="shared" si="67"/>
        <v>0.22326557946642667</v>
      </c>
      <c r="K359" s="275">
        <f t="shared" si="66"/>
        <v>47984.059687500245</v>
      </c>
    </row>
    <row r="360" spans="2:11" x14ac:dyDescent="0.2">
      <c r="B360" s="108">
        <f t="shared" ref="B360:B423" si="68">B359+$B$22</f>
        <v>11387490</v>
      </c>
      <c r="C360" s="5">
        <v>321</v>
      </c>
      <c r="D360" s="109">
        <f t="shared" ref="D360:D423" si="69">D359*(1-$C$22)</f>
        <v>1.891161379490726</v>
      </c>
      <c r="E360" s="110">
        <f t="shared" si="65"/>
        <v>0.63032408778425897</v>
      </c>
      <c r="F360" s="110">
        <f t="shared" si="67"/>
        <v>0.48130057108038976</v>
      </c>
      <c r="G360" s="110">
        <f t="shared" si="67"/>
        <v>9.2856023732994647E-2</v>
      </c>
      <c r="H360" s="110">
        <f t="shared" si="67"/>
        <v>3.7823227589814525E-4</v>
      </c>
      <c r="I360" s="110">
        <f t="shared" si="67"/>
        <v>0.46673862845831116</v>
      </c>
      <c r="J360" s="110">
        <f t="shared" si="67"/>
        <v>0.21956383615887329</v>
      </c>
      <c r="K360" s="275">
        <f t="shared" si="66"/>
        <v>47995.41038194469</v>
      </c>
    </row>
    <row r="361" spans="2:11" x14ac:dyDescent="0.2">
      <c r="B361" s="108">
        <f t="shared" si="68"/>
        <v>11420180</v>
      </c>
      <c r="C361" s="5">
        <v>322</v>
      </c>
      <c r="D361" s="109">
        <f t="shared" si="69"/>
        <v>1.8598059238187696</v>
      </c>
      <c r="E361" s="110">
        <f t="shared" si="65"/>
        <v>0.61987331440879589</v>
      </c>
      <c r="F361" s="110">
        <f t="shared" si="67"/>
        <v>0.47332060761187689</v>
      </c>
      <c r="G361" s="110">
        <f t="shared" si="67"/>
        <v>9.1316470859501592E-2</v>
      </c>
      <c r="H361" s="110">
        <f t="shared" si="67"/>
        <v>3.7196118476375396E-4</v>
      </c>
      <c r="I361" s="110">
        <f t="shared" si="67"/>
        <v>0.45900010199847235</v>
      </c>
      <c r="J361" s="110">
        <f t="shared" si="67"/>
        <v>0.21592346775535914</v>
      </c>
      <c r="K361" s="275">
        <f t="shared" si="66"/>
        <v>48006.761076389135</v>
      </c>
    </row>
    <row r="362" spans="2:11" x14ac:dyDescent="0.2">
      <c r="B362" s="108">
        <f t="shared" si="68"/>
        <v>11452870</v>
      </c>
      <c r="C362" s="5">
        <v>323</v>
      </c>
      <c r="D362" s="109">
        <f t="shared" si="69"/>
        <v>1.8289703416018543</v>
      </c>
      <c r="E362" s="110">
        <f t="shared" si="65"/>
        <v>0.60959581485589798</v>
      </c>
      <c r="F362" s="110">
        <f t="shared" si="67"/>
        <v>0.46547295193767196</v>
      </c>
      <c r="G362" s="110">
        <f t="shared" si="67"/>
        <v>8.980244377265105E-2</v>
      </c>
      <c r="H362" s="110">
        <f t="shared" si="67"/>
        <v>3.6579406832037086E-4</v>
      </c>
      <c r="I362" s="110">
        <f t="shared" si="67"/>
        <v>0.45138988030733762</v>
      </c>
      <c r="J362" s="110">
        <f t="shared" si="67"/>
        <v>0.21234345665997528</v>
      </c>
      <c r="K362" s="275">
        <f t="shared" si="66"/>
        <v>48018.111770833581</v>
      </c>
    </row>
    <row r="363" spans="2:11" x14ac:dyDescent="0.2">
      <c r="B363" s="108">
        <f t="shared" si="68"/>
        <v>11485560</v>
      </c>
      <c r="C363" s="5">
        <v>324</v>
      </c>
      <c r="D363" s="109">
        <f t="shared" si="69"/>
        <v>1.7986460133380955</v>
      </c>
      <c r="E363" s="110">
        <f t="shared" si="65"/>
        <v>0.59948871624558719</v>
      </c>
      <c r="F363" s="110">
        <f t="shared" si="67"/>
        <v>0.45775541039454531</v>
      </c>
      <c r="G363" s="110">
        <f t="shared" si="67"/>
        <v>8.8313519254900483E-2</v>
      </c>
      <c r="H363" s="110">
        <f t="shared" si="67"/>
        <v>3.5972920266761911E-4</v>
      </c>
      <c r="I363" s="110">
        <f t="shared" si="67"/>
        <v>0.44390583609184198</v>
      </c>
      <c r="J363" s="110">
        <f t="shared" si="67"/>
        <v>0.20882280214855287</v>
      </c>
      <c r="K363" s="275">
        <f t="shared" si="66"/>
        <v>48029.462465278026</v>
      </c>
    </row>
    <row r="364" spans="2:11" x14ac:dyDescent="0.2">
      <c r="B364" s="108">
        <f t="shared" si="68"/>
        <v>11518250</v>
      </c>
      <c r="C364" s="5">
        <v>325</v>
      </c>
      <c r="D364" s="109">
        <f t="shared" si="69"/>
        <v>1.7688244624369498</v>
      </c>
      <c r="E364" s="110">
        <f t="shared" ref="E364:E427" si="70">D364*E$37</f>
        <v>0.58954919333023537</v>
      </c>
      <c r="F364" s="110">
        <f t="shared" si="67"/>
        <v>0.45016582569020375</v>
      </c>
      <c r="G364" s="110">
        <f t="shared" si="67"/>
        <v>8.6849281105654236E-2</v>
      </c>
      <c r="H364" s="110">
        <f t="shared" si="67"/>
        <v>3.5376489248738999E-4</v>
      </c>
      <c r="I364" s="110">
        <f t="shared" si="67"/>
        <v>0.43654587732943917</v>
      </c>
      <c r="J364" s="110">
        <f t="shared" si="67"/>
        <v>0.20536052008892985</v>
      </c>
      <c r="K364" s="275">
        <f t="shared" si="66"/>
        <v>48040.813159722471</v>
      </c>
    </row>
    <row r="365" spans="2:11" x14ac:dyDescent="0.2">
      <c r="B365" s="108">
        <f t="shared" si="68"/>
        <v>11550940</v>
      </c>
      <c r="C365" s="5">
        <v>326</v>
      </c>
      <c r="D365" s="109">
        <f t="shared" si="69"/>
        <v>1.739497352849745</v>
      </c>
      <c r="E365" s="110">
        <f t="shared" si="70"/>
        <v>0.57977446770482</v>
      </c>
      <c r="F365" s="110">
        <f t="shared" si="67"/>
        <v>0.44270207630026009</v>
      </c>
      <c r="G365" s="110">
        <f t="shared" si="67"/>
        <v>8.5409320024922478E-2</v>
      </c>
      <c r="H365" s="110">
        <f t="shared" si="67"/>
        <v>3.4789947056994904E-4</v>
      </c>
      <c r="I365" s="110">
        <f t="shared" si="67"/>
        <v>0.42930794668331707</v>
      </c>
      <c r="J365" s="110">
        <f t="shared" si="67"/>
        <v>0.20195564266585539</v>
      </c>
      <c r="K365" s="275">
        <f t="shared" si="66"/>
        <v>48052.163854166916</v>
      </c>
    </row>
    <row r="366" spans="2:11" x14ac:dyDescent="0.2">
      <c r="B366" s="108">
        <f t="shared" si="68"/>
        <v>11583630</v>
      </c>
      <c r="C366" s="5">
        <v>327</v>
      </c>
      <c r="D366" s="109">
        <f t="shared" si="69"/>
        <v>1.7106564867394962</v>
      </c>
      <c r="E366" s="110">
        <f t="shared" si="70"/>
        <v>0.57016180703027408</v>
      </c>
      <c r="F366" s="110">
        <f t="shared" si="67"/>
        <v>0.43536207587520181</v>
      </c>
      <c r="G366" s="110">
        <f t="shared" si="67"/>
        <v>8.3993233498909262E-2</v>
      </c>
      <c r="H366" s="110">
        <f t="shared" si="67"/>
        <v>3.4213129734789925E-4</v>
      </c>
      <c r="I366" s="110">
        <f t="shared" si="67"/>
        <v>0.42219002092730767</v>
      </c>
      <c r="J366" s="110">
        <f t="shared" si="67"/>
        <v>0.19860721811045551</v>
      </c>
      <c r="K366" s="275">
        <f t="shared" si="66"/>
        <v>48063.514548611362</v>
      </c>
    </row>
    <row r="367" spans="2:11" x14ac:dyDescent="0.2">
      <c r="B367" s="108">
        <f t="shared" si="68"/>
        <v>11616320</v>
      </c>
      <c r="C367" s="5">
        <v>328</v>
      </c>
      <c r="D367" s="109">
        <f t="shared" si="69"/>
        <v>1.6822938021893552</v>
      </c>
      <c r="E367" s="110">
        <f t="shared" si="70"/>
        <v>0.56070852426971207</v>
      </c>
      <c r="F367" s="110">
        <f t="shared" si="67"/>
        <v>0.42814377265719089</v>
      </c>
      <c r="G367" s="110">
        <f t="shared" si="67"/>
        <v>8.2600625687497334E-2</v>
      </c>
      <c r="H367" s="110">
        <f t="shared" si="67"/>
        <v>3.3645876043787108E-4</v>
      </c>
      <c r="I367" s="110">
        <f t="shared" si="67"/>
        <v>0.41519011038033288</v>
      </c>
      <c r="J367" s="110">
        <f t="shared" si="67"/>
        <v>0.19531431043418412</v>
      </c>
      <c r="K367" s="275">
        <f t="shared" si="66"/>
        <v>48074.865243055807</v>
      </c>
    </row>
    <row r="368" spans="2:11" x14ac:dyDescent="0.2">
      <c r="B368" s="108">
        <f t="shared" si="68"/>
        <v>11649010</v>
      </c>
      <c r="C368" s="5">
        <v>329</v>
      </c>
      <c r="D368" s="109">
        <f t="shared" si="69"/>
        <v>1.6544013709490557</v>
      </c>
      <c r="E368" s="110">
        <f t="shared" si="70"/>
        <v>0.55141197693732025</v>
      </c>
      <c r="F368" s="110">
        <f t="shared" si="67"/>
        <v>0.42104514890653466</v>
      </c>
      <c r="G368" s="110">
        <f t="shared" si="67"/>
        <v>8.123110731359863E-2</v>
      </c>
      <c r="H368" s="110">
        <f t="shared" si="67"/>
        <v>3.3088027418981113E-4</v>
      </c>
      <c r="I368" s="110">
        <f t="shared" si="67"/>
        <v>0.40830625835022694</v>
      </c>
      <c r="J368" s="110">
        <f t="shared" si="67"/>
        <v>0.19207599916718535</v>
      </c>
      <c r="K368" s="275">
        <f t="shared" si="66"/>
        <v>48086.215937500252</v>
      </c>
    </row>
    <row r="369" spans="2:11" x14ac:dyDescent="0.2">
      <c r="B369" s="108">
        <f t="shared" si="68"/>
        <v>11681700</v>
      </c>
      <c r="C369" s="5">
        <v>330</v>
      </c>
      <c r="D369" s="109">
        <f t="shared" si="69"/>
        <v>1.6269713962187202</v>
      </c>
      <c r="E369" s="110">
        <f t="shared" si="70"/>
        <v>0.54226956635969947</v>
      </c>
      <c r="F369" s="110">
        <f t="shared" si="67"/>
        <v>0.41406422033766432</v>
      </c>
      <c r="G369" s="110">
        <f t="shared" si="67"/>
        <v>7.9884295554339166E-2</v>
      </c>
      <c r="H369" s="110">
        <f t="shared" si="67"/>
        <v>3.2539427924374408E-4</v>
      </c>
      <c r="I369" s="110">
        <f t="shared" si="67"/>
        <v>0.40153654058678012</v>
      </c>
      <c r="J369" s="110">
        <f t="shared" si="67"/>
        <v>0.18889137910099341</v>
      </c>
      <c r="K369" s="275">
        <f t="shared" si="66"/>
        <v>48097.566631944697</v>
      </c>
    </row>
    <row r="370" spans="2:11" x14ac:dyDescent="0.2">
      <c r="B370" s="108">
        <f t="shared" si="68"/>
        <v>11714390</v>
      </c>
      <c r="C370" s="5">
        <v>331</v>
      </c>
      <c r="D370" s="109">
        <f t="shared" si="69"/>
        <v>1.5999962104694139</v>
      </c>
      <c r="E370" s="110">
        <f t="shared" si="70"/>
        <v>0.5332787369494556</v>
      </c>
      <c r="F370" s="110">
        <f t="shared" si="67"/>
        <v>0.40719903556446585</v>
      </c>
      <c r="G370" s="110">
        <f t="shared" si="67"/>
        <v>7.855981393404822E-2</v>
      </c>
      <c r="H370" s="110">
        <f t="shared" si="67"/>
        <v>3.1999924209388277E-4</v>
      </c>
      <c r="I370" s="110">
        <f t="shared" si="67"/>
        <v>0.39487906474385132</v>
      </c>
      <c r="J370" s="110">
        <f t="shared" si="67"/>
        <v>0.18575956003549896</v>
      </c>
      <c r="K370" s="275">
        <f t="shared" si="66"/>
        <v>48108.917326389143</v>
      </c>
    </row>
    <row r="371" spans="2:11" x14ac:dyDescent="0.2">
      <c r="B371" s="108">
        <f t="shared" si="68"/>
        <v>11747080</v>
      </c>
      <c r="C371" s="5">
        <v>332</v>
      </c>
      <c r="D371" s="109">
        <f t="shared" si="69"/>
        <v>1.5734682732998309</v>
      </c>
      <c r="E371" s="110">
        <f t="shared" si="70"/>
        <v>0.52443697549083357</v>
      </c>
      <c r="F371" s="110">
        <f t="shared" si="67"/>
        <v>0.40044767555480698</v>
      </c>
      <c r="G371" s="110">
        <f t="shared" si="67"/>
        <v>7.7257292219021695E-2</v>
      </c>
      <c r="H371" s="110">
        <f t="shared" si="67"/>
        <v>3.1469365465996616E-4</v>
      </c>
      <c r="I371" s="110">
        <f t="shared" si="67"/>
        <v>0.38833196985039825</v>
      </c>
      <c r="J371" s="110">
        <f t="shared" si="67"/>
        <v>0.18267966653011036</v>
      </c>
      <c r="K371" s="275">
        <f t="shared" si="66"/>
        <v>48120.268020833588</v>
      </c>
    </row>
    <row r="372" spans="2:11" x14ac:dyDescent="0.2">
      <c r="B372" s="108">
        <f t="shared" si="68"/>
        <v>11779770</v>
      </c>
      <c r="C372" s="5">
        <v>333</v>
      </c>
      <c r="D372" s="109">
        <f t="shared" si="69"/>
        <v>1.5473801693285196</v>
      </c>
      <c r="E372" s="110">
        <f t="shared" si="70"/>
        <v>0.51574181043719558</v>
      </c>
      <c r="F372" s="110">
        <f t="shared" si="67"/>
        <v>0.39380825309410827</v>
      </c>
      <c r="G372" s="110">
        <f t="shared" si="67"/>
        <v>7.5976366314030305E-2</v>
      </c>
      <c r="H372" s="110">
        <f t="shared" si="67"/>
        <v>3.0947603386570396E-4</v>
      </c>
      <c r="I372" s="110">
        <f t="shared" si="67"/>
        <v>0.38189342579027863</v>
      </c>
      <c r="J372" s="110">
        <f t="shared" si="67"/>
        <v>0.17965083765904111</v>
      </c>
      <c r="K372" s="275">
        <f t="shared" si="66"/>
        <v>48131.618715278033</v>
      </c>
    </row>
    <row r="373" spans="2:11" x14ac:dyDescent="0.2">
      <c r="B373" s="108">
        <f t="shared" si="68"/>
        <v>11812460</v>
      </c>
      <c r="C373" s="5">
        <v>334</v>
      </c>
      <c r="D373" s="109">
        <f t="shared" si="69"/>
        <v>1.5217246061210528</v>
      </c>
      <c r="E373" s="110">
        <f t="shared" si="70"/>
        <v>0.50719081122014686</v>
      </c>
      <c r="F373" s="110">
        <f t="shared" si="67"/>
        <v>0.38727891225780792</v>
      </c>
      <c r="G373" s="110">
        <f t="shared" si="67"/>
        <v>7.4716678160543684E-2</v>
      </c>
      <c r="H373" s="110">
        <f t="shared" si="67"/>
        <v>3.0434492122421059E-4</v>
      </c>
      <c r="I373" s="110">
        <f t="shared" si="67"/>
        <v>0.37556163279067578</v>
      </c>
      <c r="J373" s="110">
        <f t="shared" si="67"/>
        <v>0.17667222677065422</v>
      </c>
      <c r="K373" s="275">
        <f t="shared" si="66"/>
        <v>48142.969409722478</v>
      </c>
    </row>
    <row r="374" spans="2:11" x14ac:dyDescent="0.2">
      <c r="B374" s="108">
        <f t="shared" si="68"/>
        <v>11845150</v>
      </c>
      <c r="C374" s="5">
        <v>335</v>
      </c>
      <c r="D374" s="109">
        <f t="shared" si="69"/>
        <v>1.4964944121515655</v>
      </c>
      <c r="E374" s="110">
        <f t="shared" si="70"/>
        <v>0.49878158757011676</v>
      </c>
      <c r="F374" s="110">
        <f t="shared" si="67"/>
        <v>0.38085782789257344</v>
      </c>
      <c r="G374" s="110">
        <f t="shared" si="67"/>
        <v>7.3477875636641862E-2</v>
      </c>
      <c r="H374" s="110">
        <f t="shared" si="67"/>
        <v>2.992988824303131E-4</v>
      </c>
      <c r="I374" s="110">
        <f t="shared" si="67"/>
        <v>0.36933482091900638</v>
      </c>
      <c r="J374" s="110">
        <f t="shared" si="67"/>
        <v>0.17374300125079675</v>
      </c>
      <c r="K374" s="275">
        <f t="shared" si="66"/>
        <v>48154.320104166924</v>
      </c>
    </row>
    <row r="375" spans="2:11" x14ac:dyDescent="0.2">
      <c r="B375" s="108">
        <f t="shared" si="68"/>
        <v>11877840</v>
      </c>
      <c r="C375" s="5">
        <v>336</v>
      </c>
      <c r="D375" s="109">
        <f t="shared" si="69"/>
        <v>1.4716825347980924</v>
      </c>
      <c r="E375" s="110">
        <f t="shared" si="70"/>
        <v>0.49051178884820418</v>
      </c>
      <c r="F375" s="110">
        <f t="shared" si="67"/>
        <v>0.37454320510611455</v>
      </c>
      <c r="G375" s="110">
        <f t="shared" si="67"/>
        <v>7.2259612458586336E-2</v>
      </c>
      <c r="H375" s="110">
        <f t="shared" si="67"/>
        <v>2.9433650695961851E-4</v>
      </c>
      <c r="I375" s="110">
        <f t="shared" si="67"/>
        <v>0.36321124958816919</v>
      </c>
      <c r="J375" s="110">
        <f t="shared" si="67"/>
        <v>0.17086234229005853</v>
      </c>
      <c r="K375" s="275">
        <f t="shared" si="66"/>
        <v>48165.670798611369</v>
      </c>
    </row>
    <row r="376" spans="2:11" x14ac:dyDescent="0.2">
      <c r="B376" s="108">
        <f t="shared" si="68"/>
        <v>11910530</v>
      </c>
      <c r="C376" s="5">
        <v>337</v>
      </c>
      <c r="D376" s="109">
        <f t="shared" si="69"/>
        <v>1.44728203837114</v>
      </c>
      <c r="E376" s="110">
        <f t="shared" si="70"/>
        <v>0.48237910338910095</v>
      </c>
      <c r="F376" s="110">
        <f t="shared" si="67"/>
        <v>0.36833327876545513</v>
      </c>
      <c r="G376" s="110">
        <f t="shared" si="67"/>
        <v>7.1061548084022971E-2</v>
      </c>
      <c r="H376" s="110">
        <f t="shared" si="67"/>
        <v>2.8945640767422804E-4</v>
      </c>
      <c r="I376" s="110">
        <f t="shared" si="67"/>
        <v>0.35718920706999735</v>
      </c>
      <c r="J376" s="110">
        <f t="shared" si="67"/>
        <v>0.16802944465488934</v>
      </c>
      <c r="K376" s="275">
        <f t="shared" si="66"/>
        <v>48177.021493055814</v>
      </c>
    </row>
    <row r="377" spans="2:11" x14ac:dyDescent="0.2">
      <c r="B377" s="108">
        <f t="shared" si="68"/>
        <v>11943220</v>
      </c>
      <c r="C377" s="5">
        <v>338</v>
      </c>
      <c r="D377" s="109">
        <f t="shared" si="69"/>
        <v>1.4232861021749463</v>
      </c>
      <c r="E377" s="110">
        <f t="shared" si="70"/>
        <v>0.47438125785490959</v>
      </c>
      <c r="F377" s="110">
        <f t="shared" si="67"/>
        <v>0.36222631300352387</v>
      </c>
      <c r="G377" s="110">
        <f t="shared" si="67"/>
        <v>6.9883347616789868E-2</v>
      </c>
      <c r="H377" s="110">
        <f t="shared" si="67"/>
        <v>2.8465722043498928E-4</v>
      </c>
      <c r="I377" s="110">
        <f t="shared" si="67"/>
        <v>0.35126701001677674</v>
      </c>
      <c r="J377" s="110">
        <f t="shared" si="67"/>
        <v>0.16524351646251126</v>
      </c>
      <c r="K377" s="275">
        <f t="shared" si="66"/>
        <v>48188.372187500259</v>
      </c>
    </row>
    <row r="378" spans="2:11" x14ac:dyDescent="0.2">
      <c r="B378" s="108">
        <f t="shared" si="68"/>
        <v>11975910</v>
      </c>
      <c r="C378" s="5">
        <v>339</v>
      </c>
      <c r="D378" s="109">
        <f t="shared" si="69"/>
        <v>1.3996880186008858</v>
      </c>
      <c r="E378" s="110">
        <f t="shared" si="70"/>
        <v>0.46651601659967523</v>
      </c>
      <c r="F378" s="110">
        <f t="shared" si="67"/>
        <v>0.35622060073392542</v>
      </c>
      <c r="G378" s="110">
        <f t="shared" si="67"/>
        <v>6.8724681713303482E-2</v>
      </c>
      <c r="H378" s="110">
        <f t="shared" si="67"/>
        <v>2.7993760372017716E-4</v>
      </c>
      <c r="I378" s="110">
        <f t="shared" si="67"/>
        <v>0.34544300299069858</v>
      </c>
      <c r="J378" s="110">
        <f t="shared" si="67"/>
        <v>0.16250377895956283</v>
      </c>
      <c r="K378" s="275">
        <f t="shared" ref="K378:K441" si="71">K377+($D$22/24/60/60)*$B$22</f>
        <v>48199.722881944705</v>
      </c>
    </row>
    <row r="379" spans="2:11" x14ac:dyDescent="0.2">
      <c r="B379" s="108">
        <f t="shared" si="68"/>
        <v>12008600</v>
      </c>
      <c r="C379" s="5">
        <v>340</v>
      </c>
      <c r="D379" s="109">
        <f t="shared" si="69"/>
        <v>1.376481191252483</v>
      </c>
      <c r="E379" s="110">
        <f t="shared" si="70"/>
        <v>0.45878118104445259</v>
      </c>
      <c r="F379" s="110">
        <f t="shared" si="67"/>
        <v>0.35031446317375692</v>
      </c>
      <c r="G379" s="110">
        <f t="shared" si="67"/>
        <v>6.7585226490496919E-2</v>
      </c>
      <c r="H379" s="110">
        <f t="shared" si="67"/>
        <v>2.752962382504966E-4</v>
      </c>
      <c r="I379" s="110">
        <f t="shared" si="67"/>
        <v>0.33971555800111281</v>
      </c>
      <c r="J379" s="110">
        <f t="shared" si="67"/>
        <v>0.15980946630441328</v>
      </c>
      <c r="K379" s="275">
        <f t="shared" si="71"/>
        <v>48211.07357638915</v>
      </c>
    </row>
    <row r="380" spans="2:11" x14ac:dyDescent="0.2">
      <c r="B380" s="108">
        <f t="shared" si="68"/>
        <v>12041290</v>
      </c>
      <c r="C380" s="5">
        <v>341</v>
      </c>
      <c r="D380" s="109">
        <f t="shared" si="69"/>
        <v>1.3536591331015169</v>
      </c>
      <c r="E380" s="110">
        <f t="shared" si="70"/>
        <v>0.45117458906273555</v>
      </c>
      <c r="F380" s="110">
        <f t="shared" si="67"/>
        <v>0.34450624937433605</v>
      </c>
      <c r="G380" s="110">
        <f t="shared" si="67"/>
        <v>6.6464663435284468E-2</v>
      </c>
      <c r="H380" s="110">
        <f t="shared" si="67"/>
        <v>2.7073182662030337E-4</v>
      </c>
      <c r="I380" s="110">
        <f t="shared" si="67"/>
        <v>0.33408307404945436</v>
      </c>
      <c r="J380" s="110">
        <f t="shared" si="67"/>
        <v>0.15715982535308609</v>
      </c>
      <c r="K380" s="275">
        <f t="shared" si="71"/>
        <v>48222.424270833595</v>
      </c>
    </row>
    <row r="381" spans="2:11" x14ac:dyDescent="0.2">
      <c r="B381" s="108">
        <f t="shared" si="68"/>
        <v>12073980</v>
      </c>
      <c r="C381" s="5">
        <v>342</v>
      </c>
      <c r="D381" s="109">
        <f t="shared" si="69"/>
        <v>1.3312154646746936</v>
      </c>
      <c r="E381" s="110">
        <f t="shared" si="70"/>
        <v>0.44369411437607537</v>
      </c>
      <c r="F381" s="110">
        <f t="shared" si="67"/>
        <v>0.33879433575970952</v>
      </c>
      <c r="G381" s="110">
        <f t="shared" si="67"/>
        <v>6.5362679315527458E-2</v>
      </c>
      <c r="H381" s="110">
        <f t="shared" si="67"/>
        <v>2.6624309293493876E-4</v>
      </c>
      <c r="I381" s="110">
        <f t="shared" si="67"/>
        <v>0.32854397668171437</v>
      </c>
      <c r="J381" s="110">
        <f t="shared" si="67"/>
        <v>0.15455411544873193</v>
      </c>
      <c r="K381" s="275">
        <f t="shared" si="71"/>
        <v>48233.77496527804</v>
      </c>
    </row>
    <row r="382" spans="2:11" x14ac:dyDescent="0.2">
      <c r="B382" s="108">
        <f t="shared" si="68"/>
        <v>12106670</v>
      </c>
      <c r="C382" s="5">
        <v>343</v>
      </c>
      <c r="D382" s="109">
        <f t="shared" si="69"/>
        <v>1.3091439122703872</v>
      </c>
      <c r="E382" s="110">
        <f t="shared" si="70"/>
        <v>0.43633766595972001</v>
      </c>
      <c r="F382" s="110">
        <f t="shared" si="67"/>
        <v>0.33317712567281355</v>
      </c>
      <c r="G382" s="110">
        <f t="shared" si="67"/>
        <v>6.4278966092476006E-2</v>
      </c>
      <c r="H382" s="110">
        <f t="shared" si="67"/>
        <v>2.6182878245407747E-4</v>
      </c>
      <c r="I382" s="110">
        <f t="shared" si="67"/>
        <v>0.32309671754833152</v>
      </c>
      <c r="J382" s="110">
        <f t="shared" si="67"/>
        <v>0.15199160821459196</v>
      </c>
      <c r="K382" s="275">
        <f t="shared" si="71"/>
        <v>48245.125659722486</v>
      </c>
    </row>
    <row r="383" spans="2:11" x14ac:dyDescent="0.2">
      <c r="B383" s="108">
        <f t="shared" si="68"/>
        <v>12139360</v>
      </c>
      <c r="C383" s="5">
        <v>344</v>
      </c>
      <c r="D383" s="109">
        <f t="shared" si="69"/>
        <v>1.2874383062049441</v>
      </c>
      <c r="E383" s="110">
        <f t="shared" si="70"/>
        <v>0.42910318745810788</v>
      </c>
      <c r="F383" s="110">
        <f t="shared" ref="F383:J433" si="72">$D383*F$37</f>
        <v>0.32765304892915831</v>
      </c>
      <c r="G383" s="110">
        <f t="shared" si="72"/>
        <v>6.3213220834662756E-2</v>
      </c>
      <c r="H383" s="110">
        <f t="shared" si="72"/>
        <v>2.5748766124098887E-4</v>
      </c>
      <c r="I383" s="110">
        <f t="shared" si="72"/>
        <v>0.3177397739713802</v>
      </c>
      <c r="J383" s="110">
        <f t="shared" si="72"/>
        <v>0.14947158735039401</v>
      </c>
      <c r="K383" s="275">
        <f t="shared" si="71"/>
        <v>48256.476354166931</v>
      </c>
    </row>
    <row r="384" spans="2:11" x14ac:dyDescent="0.2">
      <c r="B384" s="108">
        <f t="shared" si="68"/>
        <v>12172050</v>
      </c>
      <c r="C384" s="5">
        <v>345</v>
      </c>
      <c r="D384" s="109">
        <f t="shared" si="69"/>
        <v>1.2660925790880662</v>
      </c>
      <c r="E384" s="110">
        <f t="shared" si="70"/>
        <v>0.42198865661005242</v>
      </c>
      <c r="F384" s="110">
        <f t="shared" si="72"/>
        <v>0.32222056137791283</v>
      </c>
      <c r="G384" s="110">
        <f t="shared" si="72"/>
        <v>6.2165145633224048E-2</v>
      </c>
      <c r="H384" s="110">
        <f t="shared" si="72"/>
        <v>2.5321851581761322E-4</v>
      </c>
      <c r="I384" s="110">
        <f t="shared" si="72"/>
        <v>0.31247164851893472</v>
      </c>
      <c r="J384" s="110">
        <f t="shared" si="72"/>
        <v>0.14699334843212447</v>
      </c>
      <c r="K384" s="275">
        <f t="shared" si="71"/>
        <v>48267.827048611376</v>
      </c>
    </row>
    <row r="385" spans="2:11" x14ac:dyDescent="0.2">
      <c r="B385" s="108">
        <f t="shared" si="68"/>
        <v>12204740</v>
      </c>
      <c r="C385" s="5">
        <v>346</v>
      </c>
      <c r="D385" s="109">
        <f t="shared" si="69"/>
        <v>1.2451007641267859</v>
      </c>
      <c r="E385" s="110">
        <f t="shared" si="70"/>
        <v>0.41499208468345772</v>
      </c>
      <c r="F385" s="110">
        <f t="shared" si="72"/>
        <v>0.31687814447026702</v>
      </c>
      <c r="G385" s="110">
        <f t="shared" si="72"/>
        <v>6.1134447518625186E-2</v>
      </c>
      <c r="H385" s="110">
        <f t="shared" si="72"/>
        <v>2.4902015282535721E-4</v>
      </c>
      <c r="I385" s="110">
        <f t="shared" si="72"/>
        <v>0.30729086858649074</v>
      </c>
      <c r="J385" s="110">
        <f t="shared" si="72"/>
        <v>0.14455619871511985</v>
      </c>
      <c r="K385" s="275">
        <f t="shared" si="71"/>
        <v>48279.177743055821</v>
      </c>
    </row>
    <row r="386" spans="2:11" x14ac:dyDescent="0.2">
      <c r="B386" s="108">
        <f t="shared" si="68"/>
        <v>12237430</v>
      </c>
      <c r="C386" s="5">
        <v>347</v>
      </c>
      <c r="D386" s="109">
        <f t="shared" si="69"/>
        <v>1.2244569934575638</v>
      </c>
      <c r="E386" s="110">
        <f t="shared" si="70"/>
        <v>0.40811151591940598</v>
      </c>
      <c r="F386" s="110">
        <f t="shared" si="72"/>
        <v>0.31162430483494996</v>
      </c>
      <c r="G386" s="110">
        <f t="shared" si="72"/>
        <v>6.0120838378766375E-2</v>
      </c>
      <c r="H386" s="110">
        <f t="shared" si="72"/>
        <v>2.4489139869151276E-4</v>
      </c>
      <c r="I386" s="110">
        <f t="shared" si="72"/>
        <v>0.30219598598532671</v>
      </c>
      <c r="J386" s="110">
        <f t="shared" si="72"/>
        <v>0.14215945694042315</v>
      </c>
      <c r="K386" s="275">
        <f t="shared" si="71"/>
        <v>48290.528437500267</v>
      </c>
    </row>
    <row r="387" spans="2:11" x14ac:dyDescent="0.2">
      <c r="B387" s="108">
        <f t="shared" si="68"/>
        <v>12270120</v>
      </c>
      <c r="C387" s="5">
        <v>348</v>
      </c>
      <c r="D387" s="109">
        <f t="shared" si="69"/>
        <v>1.2041554965060373</v>
      </c>
      <c r="E387" s="110">
        <f t="shared" si="70"/>
        <v>0.40134502698546221</v>
      </c>
      <c r="F387" s="110">
        <f t="shared" si="72"/>
        <v>0.30645757386078648</v>
      </c>
      <c r="G387" s="110">
        <f t="shared" si="72"/>
        <v>5.9124034878446426E-2</v>
      </c>
      <c r="H387" s="110">
        <f t="shared" si="72"/>
        <v>2.4083109930120747E-4</v>
      </c>
      <c r="I387" s="110">
        <f t="shared" si="72"/>
        <v>0.29718557653769001</v>
      </c>
      <c r="J387" s="110">
        <f t="shared" si="72"/>
        <v>0.13980245314435091</v>
      </c>
      <c r="K387" s="275">
        <f t="shared" si="71"/>
        <v>48301.879131944712</v>
      </c>
    </row>
    <row r="388" spans="2:11" x14ac:dyDescent="0.2">
      <c r="B388" s="108">
        <f t="shared" si="68"/>
        <v>12302810</v>
      </c>
      <c r="C388" s="5">
        <v>349</v>
      </c>
      <c r="D388" s="109">
        <f t="shared" si="69"/>
        <v>1.1841905983739671</v>
      </c>
      <c r="E388" s="110">
        <f t="shared" si="70"/>
        <v>0.3946907264380432</v>
      </c>
      <c r="F388" s="110">
        <f t="shared" si="72"/>
        <v>0.30137650728617466</v>
      </c>
      <c r="G388" s="110">
        <f t="shared" si="72"/>
        <v>5.8143758380161781E-2</v>
      </c>
      <c r="H388" s="110">
        <f t="shared" si="72"/>
        <v>2.3683811967479344E-4</v>
      </c>
      <c r="I388" s="110">
        <f t="shared" si="72"/>
        <v>0.29225823967869508</v>
      </c>
      <c r="J388" s="110">
        <f t="shared" si="72"/>
        <v>0.13748452847121759</v>
      </c>
      <c r="K388" s="275">
        <f t="shared" si="71"/>
        <v>48313.229826389157</v>
      </c>
    </row>
    <row r="389" spans="2:11" x14ac:dyDescent="0.2">
      <c r="B389" s="108">
        <f t="shared" si="68"/>
        <v>12335500</v>
      </c>
      <c r="C389" s="5">
        <v>350</v>
      </c>
      <c r="D389" s="109">
        <f t="shared" si="69"/>
        <v>1.1645567182529266</v>
      </c>
      <c r="E389" s="110">
        <f t="shared" si="70"/>
        <v>0.38814675419370043</v>
      </c>
      <c r="F389" s="110">
        <f t="shared" si="72"/>
        <v>0.2963796847953698</v>
      </c>
      <c r="G389" s="110">
        <f t="shared" si="72"/>
        <v>5.7179734866218697E-2</v>
      </c>
      <c r="H389" s="110">
        <f t="shared" si="72"/>
        <v>2.3291134365058534E-4</v>
      </c>
      <c r="I389" s="110">
        <f t="shared" si="72"/>
        <v>0.28741259806482228</v>
      </c>
      <c r="J389" s="110">
        <f t="shared" si="72"/>
        <v>0.13520503498916478</v>
      </c>
      <c r="K389" s="275">
        <f t="shared" si="71"/>
        <v>48324.580520833602</v>
      </c>
    </row>
    <row r="390" spans="2:11" x14ac:dyDescent="0.2">
      <c r="B390" s="108">
        <f t="shared" si="68"/>
        <v>12368190</v>
      </c>
      <c r="C390" s="5">
        <v>351</v>
      </c>
      <c r="D390" s="109">
        <f t="shared" si="69"/>
        <v>1.1452483678642931</v>
      </c>
      <c r="E390" s="110">
        <f t="shared" si="70"/>
        <v>0.38171128100916885</v>
      </c>
      <c r="F390" s="110">
        <f t="shared" si="72"/>
        <v>0.29146570962146257</v>
      </c>
      <c r="G390" s="110">
        <f t="shared" si="72"/>
        <v>5.6231694862136784E-2</v>
      </c>
      <c r="H390" s="110">
        <f t="shared" si="72"/>
        <v>2.2904967357285862E-4</v>
      </c>
      <c r="I390" s="110">
        <f t="shared" si="72"/>
        <v>0.28264729718890752</v>
      </c>
      <c r="J390" s="110">
        <f t="shared" si="72"/>
        <v>0.13296333550904441</v>
      </c>
      <c r="K390" s="275">
        <f t="shared" si="71"/>
        <v>48335.931215278048</v>
      </c>
    </row>
    <row r="391" spans="2:11" x14ac:dyDescent="0.2">
      <c r="B391" s="108">
        <f t="shared" si="68"/>
        <v>12400880</v>
      </c>
      <c r="C391" s="5">
        <v>352</v>
      </c>
      <c r="D391" s="109">
        <f t="shared" si="69"/>
        <v>1.126260149925103</v>
      </c>
      <c r="E391" s="110">
        <f t="shared" si="70"/>
        <v>0.37538250797003681</v>
      </c>
      <c r="F391" s="110">
        <f t="shared" si="72"/>
        <v>0.28663320815593873</v>
      </c>
      <c r="G391" s="110">
        <f t="shared" si="72"/>
        <v>5.5299373361322554E-2</v>
      </c>
      <c r="H391" s="110">
        <f t="shared" si="72"/>
        <v>2.2525202998502063E-4</v>
      </c>
      <c r="I391" s="110">
        <f t="shared" si="72"/>
        <v>0.27796100500151544</v>
      </c>
      <c r="J391" s="110">
        <f t="shared" si="72"/>
        <v>0.13075880340630447</v>
      </c>
      <c r="K391" s="275">
        <f t="shared" si="71"/>
        <v>48347.281909722493</v>
      </c>
    </row>
    <row r="392" spans="2:11" x14ac:dyDescent="0.2">
      <c r="B392" s="108">
        <f t="shared" si="68"/>
        <v>12433570</v>
      </c>
      <c r="C392" s="5">
        <v>353</v>
      </c>
      <c r="D392" s="109">
        <f t="shared" si="69"/>
        <v>1.1075867566393447</v>
      </c>
      <c r="E392" s="110">
        <f t="shared" si="70"/>
        <v>0.3691586659878936</v>
      </c>
      <c r="F392" s="110">
        <f t="shared" si="72"/>
        <v>0.28188082956471322</v>
      </c>
      <c r="G392" s="110">
        <f t="shared" si="72"/>
        <v>5.438250975099182E-2</v>
      </c>
      <c r="H392" s="110">
        <f t="shared" si="72"/>
        <v>2.2151735132786894E-4</v>
      </c>
      <c r="I392" s="110">
        <f t="shared" si="72"/>
        <v>0.27335241153859025</v>
      </c>
      <c r="J392" s="110">
        <f t="shared" si="72"/>
        <v>0.12859082244582792</v>
      </c>
      <c r="K392" s="275">
        <f t="shared" si="71"/>
        <v>48358.632604166938</v>
      </c>
    </row>
    <row r="393" spans="2:11" x14ac:dyDescent="0.2">
      <c r="B393" s="108">
        <f t="shared" si="68"/>
        <v>12466260</v>
      </c>
      <c r="C393" s="5">
        <v>354</v>
      </c>
      <c r="D393" s="109">
        <f t="shared" si="69"/>
        <v>1.0892229682142642</v>
      </c>
      <c r="E393" s="110">
        <f t="shared" si="70"/>
        <v>0.36303801530581425</v>
      </c>
      <c r="F393" s="110">
        <f t="shared" si="72"/>
        <v>0.27720724541053027</v>
      </c>
      <c r="G393" s="110">
        <f t="shared" si="72"/>
        <v>5.3480847739320374E-2</v>
      </c>
      <c r="H393" s="110">
        <f t="shared" si="72"/>
        <v>2.1784459364285286E-4</v>
      </c>
      <c r="I393" s="110">
        <f t="shared" si="72"/>
        <v>0.26882022855528043</v>
      </c>
      <c r="J393" s="110">
        <f t="shared" si="72"/>
        <v>0.12645878660967608</v>
      </c>
      <c r="K393" s="275">
        <f t="shared" si="71"/>
        <v>48369.983298611383</v>
      </c>
    </row>
    <row r="394" spans="2:11" x14ac:dyDescent="0.2">
      <c r="B394" s="108">
        <f t="shared" si="68"/>
        <v>12498950</v>
      </c>
      <c r="C394" s="5">
        <v>355</v>
      </c>
      <c r="D394" s="109">
        <f t="shared" si="69"/>
        <v>1.0711636514012717</v>
      </c>
      <c r="E394" s="110">
        <f t="shared" si="70"/>
        <v>0.35701884501204384</v>
      </c>
      <c r="F394" s="110">
        <f t="shared" si="72"/>
        <v>0.27261114928162367</v>
      </c>
      <c r="G394" s="110">
        <f t="shared" si="72"/>
        <v>5.259413528380244E-2</v>
      </c>
      <c r="H394" s="110">
        <f t="shared" si="72"/>
        <v>2.1423273028025434E-4</v>
      </c>
      <c r="I394" s="110">
        <f t="shared" si="72"/>
        <v>0.26436318916583385</v>
      </c>
      <c r="J394" s="110">
        <f t="shared" si="72"/>
        <v>0.12436209992768764</v>
      </c>
      <c r="K394" s="275">
        <f t="shared" si="71"/>
        <v>48381.333993055829</v>
      </c>
    </row>
    <row r="395" spans="2:11" x14ac:dyDescent="0.2">
      <c r="B395" s="108">
        <f t="shared" si="68"/>
        <v>12531640</v>
      </c>
      <c r="C395" s="5">
        <v>356</v>
      </c>
      <c r="D395" s="109">
        <f t="shared" si="69"/>
        <v>1.0534037580610385</v>
      </c>
      <c r="E395" s="110">
        <f t="shared" si="70"/>
        <v>0.35109947256174412</v>
      </c>
      <c r="F395" s="110">
        <f t="shared" si="72"/>
        <v>0.26809125642653431</v>
      </c>
      <c r="G395" s="110">
        <f t="shared" si="72"/>
        <v>5.172212452079699E-2</v>
      </c>
      <c r="H395" s="110">
        <f t="shared" si="72"/>
        <v>2.106807516122077E-4</v>
      </c>
      <c r="I395" s="110">
        <f t="shared" si="72"/>
        <v>0.25998004748946429</v>
      </c>
      <c r="J395" s="110">
        <f t="shared" si="72"/>
        <v>0.12230017631088656</v>
      </c>
      <c r="K395" s="275">
        <f t="shared" si="71"/>
        <v>48392.684687500274</v>
      </c>
    </row>
    <row r="396" spans="2:11" x14ac:dyDescent="0.2">
      <c r="B396" s="108">
        <f t="shared" si="68"/>
        <v>12564330</v>
      </c>
      <c r="C396" s="5">
        <v>357</v>
      </c>
      <c r="D396" s="109">
        <f t="shared" si="69"/>
        <v>1.0359383237523865</v>
      </c>
      <c r="E396" s="110">
        <f t="shared" si="70"/>
        <v>0.3452782433066704</v>
      </c>
      <c r="F396" s="110">
        <f t="shared" si="72"/>
        <v>0.26364630339498235</v>
      </c>
      <c r="G396" s="110">
        <f t="shared" si="72"/>
        <v>5.0864571696242172E-2</v>
      </c>
      <c r="H396" s="110">
        <f t="shared" si="72"/>
        <v>2.071876647504773E-4</v>
      </c>
      <c r="I396" s="110">
        <f t="shared" si="72"/>
        <v>0.25566957830208897</v>
      </c>
      <c r="J396" s="110">
        <f t="shared" si="72"/>
        <v>0.12027243938765207</v>
      </c>
      <c r="K396" s="275">
        <f t="shared" si="71"/>
        <v>48404.035381944719</v>
      </c>
    </row>
    <row r="397" spans="2:11" x14ac:dyDescent="0.2">
      <c r="B397" s="108">
        <f t="shared" si="68"/>
        <v>12597020</v>
      </c>
      <c r="C397" s="5">
        <v>358</v>
      </c>
      <c r="D397" s="109">
        <f t="shared" si="69"/>
        <v>1.0187624663445718</v>
      </c>
      <c r="E397" s="110">
        <f t="shared" si="70"/>
        <v>0.33955353003264577</v>
      </c>
      <c r="F397" s="110">
        <f t="shared" si="72"/>
        <v>0.2592750476846935</v>
      </c>
      <c r="G397" s="110">
        <f t="shared" si="72"/>
        <v>5.0021237097518476E-2</v>
      </c>
      <c r="H397" s="110">
        <f t="shared" si="72"/>
        <v>2.0375249326891437E-4</v>
      </c>
      <c r="I397" s="110">
        <f t="shared" si="72"/>
        <v>0.25143057669384034</v>
      </c>
      <c r="J397" s="110">
        <f t="shared" si="72"/>
        <v>0.11827832234260478</v>
      </c>
      <c r="K397" s="275">
        <f t="shared" si="71"/>
        <v>48415.386076389164</v>
      </c>
    </row>
    <row r="398" spans="2:11" x14ac:dyDescent="0.2">
      <c r="B398" s="108">
        <f t="shared" si="68"/>
        <v>12629710</v>
      </c>
      <c r="C398" s="5">
        <v>359</v>
      </c>
      <c r="D398" s="109">
        <f t="shared" si="69"/>
        <v>1.0018713846525789</v>
      </c>
      <c r="E398" s="110">
        <f t="shared" si="70"/>
        <v>0.33392373250470453</v>
      </c>
      <c r="F398" s="110">
        <f t="shared" si="72"/>
        <v>0.2549762673940813</v>
      </c>
      <c r="G398" s="110">
        <f t="shared" si="72"/>
        <v>4.9191884986441621E-2</v>
      </c>
      <c r="H398" s="110">
        <f t="shared" si="72"/>
        <v>2.0037427693051578E-4</v>
      </c>
      <c r="I398" s="110">
        <f t="shared" si="72"/>
        <v>0.24726185773225645</v>
      </c>
      <c r="J398" s="110">
        <f t="shared" si="72"/>
        <v>0.11631726775816439</v>
      </c>
      <c r="K398" s="275">
        <f t="shared" si="71"/>
        <v>48426.73677083361</v>
      </c>
    </row>
    <row r="399" spans="2:11" x14ac:dyDescent="0.2">
      <c r="B399" s="108">
        <f t="shared" si="68"/>
        <v>12662400</v>
      </c>
      <c r="C399" s="5">
        <v>360</v>
      </c>
      <c r="D399" s="109">
        <f t="shared" si="69"/>
        <v>0.98526035709503901</v>
      </c>
      <c r="E399" s="110">
        <f t="shared" si="70"/>
        <v>0.32838727701977649</v>
      </c>
      <c r="F399" s="110">
        <f t="shared" si="72"/>
        <v>0.25074876088068743</v>
      </c>
      <c r="G399" s="110">
        <f t="shared" si="72"/>
        <v>4.8376283533366413E-2</v>
      </c>
      <c r="H399" s="110">
        <f t="shared" si="72"/>
        <v>1.970520714190078E-4</v>
      </c>
      <c r="I399" s="110">
        <f t="shared" si="72"/>
        <v>0.24316225613105563</v>
      </c>
      <c r="J399" s="110">
        <f t="shared" si="72"/>
        <v>0.11438872745873402</v>
      </c>
      <c r="K399" s="275">
        <f t="shared" si="71"/>
        <v>48438.087465278055</v>
      </c>
    </row>
    <row r="400" spans="2:11" x14ac:dyDescent="0.2">
      <c r="B400" s="108">
        <f t="shared" si="68"/>
        <v>12695090</v>
      </c>
      <c r="C400" s="5">
        <v>361</v>
      </c>
      <c r="D400" s="109">
        <f t="shared" si="69"/>
        <v>0.96892474037440324</v>
      </c>
      <c r="E400" s="110">
        <f t="shared" si="70"/>
        <v>0.32294261596678858</v>
      </c>
      <c r="F400" s="110">
        <f t="shared" si="72"/>
        <v>0.24659134642528563</v>
      </c>
      <c r="G400" s="110">
        <f t="shared" si="72"/>
        <v>4.7574204752383199E-2</v>
      </c>
      <c r="H400" s="110">
        <f t="shared" si="72"/>
        <v>1.9378494807488066E-4</v>
      </c>
      <c r="I400" s="110">
        <f t="shared" si="72"/>
        <v>0.23913062592440271</v>
      </c>
      <c r="J400" s="110">
        <f t="shared" si="72"/>
        <v>0.11249216235746821</v>
      </c>
      <c r="K400" s="275">
        <f t="shared" si="71"/>
        <v>48449.4381597225</v>
      </c>
    </row>
    <row r="401" spans="2:11" x14ac:dyDescent="0.2">
      <c r="B401" s="108">
        <f t="shared" si="68"/>
        <v>12727780</v>
      </c>
      <c r="C401" s="5">
        <v>362</v>
      </c>
      <c r="D401" s="109">
        <f t="shared" si="69"/>
        <v>0.95285996817899554</v>
      </c>
      <c r="E401" s="110">
        <f t="shared" si="70"/>
        <v>0.31758822739405917</v>
      </c>
      <c r="F401" s="110">
        <f t="shared" si="72"/>
        <v>0.24250286190155437</v>
      </c>
      <c r="G401" s="110">
        <f t="shared" si="72"/>
        <v>4.678542443758868E-2</v>
      </c>
      <c r="H401" s="110">
        <f t="shared" si="72"/>
        <v>1.9057199363579913E-4</v>
      </c>
      <c r="I401" s="110">
        <f t="shared" si="72"/>
        <v>0.2351658401465761</v>
      </c>
      <c r="J401" s="110">
        <f t="shared" si="72"/>
        <v>0.11062704230558137</v>
      </c>
      <c r="K401" s="275">
        <f t="shared" si="71"/>
        <v>48460.788854166945</v>
      </c>
    </row>
    <row r="402" spans="2:11" x14ac:dyDescent="0.2">
      <c r="B402" s="108">
        <f t="shared" si="68"/>
        <v>12760470</v>
      </c>
      <c r="C402" s="5">
        <v>363</v>
      </c>
      <c r="D402" s="109">
        <f t="shared" si="69"/>
        <v>0.93706154990658774</v>
      </c>
      <c r="E402" s="110">
        <f t="shared" si="70"/>
        <v>0.31232261458386568</v>
      </c>
      <c r="F402" s="110">
        <f t="shared" si="72"/>
        <v>0.23848216445122658</v>
      </c>
      <c r="G402" s="110">
        <f t="shared" si="72"/>
        <v>4.6009722100413458E-2</v>
      </c>
      <c r="H402" s="110">
        <f t="shared" si="72"/>
        <v>1.8741230998131755E-4</v>
      </c>
      <c r="I402" s="110">
        <f t="shared" si="72"/>
        <v>0.23126679051694585</v>
      </c>
      <c r="J402" s="110">
        <f t="shared" si="72"/>
        <v>0.10879284594415484</v>
      </c>
      <c r="K402" s="275">
        <f t="shared" si="71"/>
        <v>48472.139548611391</v>
      </c>
    </row>
    <row r="403" spans="2:11" x14ac:dyDescent="0.2">
      <c r="B403" s="108">
        <f t="shared" si="68"/>
        <v>12793160</v>
      </c>
      <c r="C403" s="5">
        <v>364</v>
      </c>
      <c r="D403" s="109">
        <f t="shared" si="69"/>
        <v>0.92152506940913648</v>
      </c>
      <c r="E403" s="110">
        <f t="shared" si="70"/>
        <v>0.3071443056340652</v>
      </c>
      <c r="F403" s="110">
        <f t="shared" si="72"/>
        <v>0.23452813016462523</v>
      </c>
      <c r="G403" s="110">
        <f t="shared" si="72"/>
        <v>4.5246880907988597E-2</v>
      </c>
      <c r="H403" s="110">
        <f t="shared" si="72"/>
        <v>1.8430501388182731E-4</v>
      </c>
      <c r="I403" s="110">
        <f t="shared" si="72"/>
        <v>0.22743238713017488</v>
      </c>
      <c r="J403" s="110">
        <f t="shared" si="72"/>
        <v>0.10698906055840074</v>
      </c>
      <c r="K403" s="275">
        <f t="shared" si="71"/>
        <v>48483.490243055836</v>
      </c>
    </row>
    <row r="404" spans="2:11" x14ac:dyDescent="0.2">
      <c r="B404" s="108">
        <f t="shared" si="68"/>
        <v>12825850</v>
      </c>
      <c r="C404" s="5">
        <v>365</v>
      </c>
      <c r="D404" s="109">
        <f t="shared" si="69"/>
        <v>0.90624618375833299</v>
      </c>
      <c r="E404" s="110">
        <f t="shared" si="70"/>
        <v>0.30205185304665239</v>
      </c>
      <c r="F404" s="110">
        <f t="shared" si="72"/>
        <v>0.23063965376649576</v>
      </c>
      <c r="G404" s="110">
        <f t="shared" si="72"/>
        <v>4.4496687622534149E-2</v>
      </c>
      <c r="H404" s="110">
        <f t="shared" si="72"/>
        <v>1.8124923675166661E-4</v>
      </c>
      <c r="I404" s="110">
        <f t="shared" si="72"/>
        <v>0.22366155815155658</v>
      </c>
      <c r="J404" s="110">
        <f t="shared" si="72"/>
        <v>0.10521518193434246</v>
      </c>
      <c r="K404" s="275">
        <f t="shared" si="71"/>
        <v>48494.840937500281</v>
      </c>
    </row>
    <row r="405" spans="2:11" x14ac:dyDescent="0.2">
      <c r="B405" s="108">
        <f t="shared" si="68"/>
        <v>12858540</v>
      </c>
      <c r="C405" s="5">
        <v>366</v>
      </c>
      <c r="D405" s="109">
        <f t="shared" si="69"/>
        <v>0.89122062203161978</v>
      </c>
      <c r="E405" s="110">
        <f t="shared" si="70"/>
        <v>0.29704383332313888</v>
      </c>
      <c r="F405" s="110">
        <f t="shared" si="72"/>
        <v>0.22681564830704723</v>
      </c>
      <c r="G405" s="110">
        <f t="shared" si="72"/>
        <v>4.3758932541752532E-2</v>
      </c>
      <c r="H405" s="110">
        <f t="shared" si="72"/>
        <v>1.7824412440632396E-4</v>
      </c>
      <c r="I405" s="110">
        <f t="shared" si="72"/>
        <v>0.21995324951740375</v>
      </c>
      <c r="J405" s="110">
        <f t="shared" si="72"/>
        <v>0.10347071421787105</v>
      </c>
      <c r="K405" s="275">
        <f t="shared" si="71"/>
        <v>48506.191631944726</v>
      </c>
    </row>
    <row r="406" spans="2:11" x14ac:dyDescent="0.2">
      <c r="B406" s="108">
        <f t="shared" si="68"/>
        <v>12891230</v>
      </c>
      <c r="C406" s="5">
        <v>367</v>
      </c>
      <c r="D406" s="109">
        <f t="shared" si="69"/>
        <v>0.87644418411833547</v>
      </c>
      <c r="E406" s="110">
        <f t="shared" si="70"/>
        <v>0.29211884656664122</v>
      </c>
      <c r="F406" s="110">
        <f t="shared" si="72"/>
        <v>0.22305504485811639</v>
      </c>
      <c r="G406" s="110">
        <f t="shared" si="72"/>
        <v>4.3033409440210273E-2</v>
      </c>
      <c r="H406" s="110">
        <f t="shared" si="72"/>
        <v>1.7528883682366709E-4</v>
      </c>
      <c r="I406" s="110">
        <f t="shared" si="72"/>
        <v>0.2163064246404052</v>
      </c>
      <c r="J406" s="110">
        <f t="shared" si="72"/>
        <v>0.10175516977613874</v>
      </c>
      <c r="K406" s="275">
        <f t="shared" si="71"/>
        <v>48517.542326389172</v>
      </c>
    </row>
    <row r="407" spans="2:11" x14ac:dyDescent="0.2">
      <c r="B407" s="108">
        <f t="shared" si="68"/>
        <v>12923920</v>
      </c>
      <c r="C407" s="5">
        <v>368</v>
      </c>
      <c r="D407" s="109">
        <f t="shared" si="69"/>
        <v>0.86191273954565339</v>
      </c>
      <c r="E407" s="110">
        <f t="shared" si="70"/>
        <v>0.28727551609056629</v>
      </c>
      <c r="F407" s="110">
        <f t="shared" si="72"/>
        <v>0.2193567922143688</v>
      </c>
      <c r="G407" s="110">
        <f t="shared" si="72"/>
        <v>4.2319915511691578E-2</v>
      </c>
      <c r="H407" s="110">
        <f t="shared" si="72"/>
        <v>1.7238254790913069E-4</v>
      </c>
      <c r="I407" s="110">
        <f t="shared" si="72"/>
        <v>0.21272006411986724</v>
      </c>
      <c r="J407" s="110">
        <f t="shared" si="72"/>
        <v>0.10006806906125036</v>
      </c>
      <c r="K407" s="275">
        <f t="shared" si="71"/>
        <v>48528.893020833617</v>
      </c>
    </row>
    <row r="408" spans="2:11" x14ac:dyDescent="0.2">
      <c r="B408" s="108">
        <f t="shared" si="68"/>
        <v>12956610</v>
      </c>
      <c r="C408" s="5">
        <v>369</v>
      </c>
      <c r="D408" s="109">
        <f t="shared" si="69"/>
        <v>0.84762222632398643</v>
      </c>
      <c r="E408" s="110">
        <f t="shared" si="70"/>
        <v>0.28251248803378465</v>
      </c>
      <c r="F408" s="110">
        <f t="shared" si="72"/>
        <v>0.21571985659945456</v>
      </c>
      <c r="G408" s="110">
        <f t="shared" si="72"/>
        <v>4.161825131250773E-2</v>
      </c>
      <c r="H408" s="110">
        <f t="shared" si="72"/>
        <v>1.6952444526479728E-4</v>
      </c>
      <c r="I408" s="110">
        <f t="shared" si="72"/>
        <v>0.20919316545675984</v>
      </c>
      <c r="J408" s="110">
        <f t="shared" si="72"/>
        <v>9.8408940476214818E-2</v>
      </c>
      <c r="K408" s="275">
        <f t="shared" si="71"/>
        <v>48540.243715278062</v>
      </c>
    </row>
    <row r="409" spans="2:11" x14ac:dyDescent="0.2">
      <c r="B409" s="108">
        <f t="shared" si="68"/>
        <v>12989300</v>
      </c>
      <c r="C409" s="5">
        <v>370</v>
      </c>
      <c r="D409" s="109">
        <f t="shared" si="69"/>
        <v>0.83356864981153467</v>
      </c>
      <c r="E409" s="110">
        <f t="shared" si="70"/>
        <v>0.27782843098218452</v>
      </c>
      <c r="F409" s="110">
        <f t="shared" si="72"/>
        <v>0.21214322137703556</v>
      </c>
      <c r="G409" s="110">
        <f t="shared" si="72"/>
        <v>4.0928220705746352E-2</v>
      </c>
      <c r="H409" s="110">
        <f t="shared" si="72"/>
        <v>1.6671372996230694E-4</v>
      </c>
      <c r="I409" s="110">
        <f t="shared" si="72"/>
        <v>0.20572474277348674</v>
      </c>
      <c r="J409" s="110">
        <f t="shared" si="72"/>
        <v>9.6777320243119164E-2</v>
      </c>
      <c r="K409" s="275">
        <f t="shared" si="71"/>
        <v>48551.594409722507</v>
      </c>
    </row>
    <row r="410" spans="2:11" x14ac:dyDescent="0.2">
      <c r="B410" s="108">
        <f t="shared" si="68"/>
        <v>13021990</v>
      </c>
      <c r="C410" s="5">
        <v>371</v>
      </c>
      <c r="D410" s="109">
        <f t="shared" si="69"/>
        <v>0.81974808159765944</v>
      </c>
      <c r="E410" s="110">
        <f t="shared" si="70"/>
        <v>0.27322203559649988</v>
      </c>
      <c r="F410" s="110">
        <f t="shared" si="72"/>
        <v>0.20862588676660432</v>
      </c>
      <c r="G410" s="110">
        <f t="shared" si="72"/>
        <v>4.0249630806445079E-2</v>
      </c>
      <c r="H410" s="110">
        <f t="shared" si="72"/>
        <v>1.6394961631953191E-4</v>
      </c>
      <c r="I410" s="110">
        <f t="shared" si="72"/>
        <v>0.20231382653830235</v>
      </c>
      <c r="J410" s="110">
        <f t="shared" si="72"/>
        <v>9.5172752273488259E-2</v>
      </c>
      <c r="K410" s="275">
        <f t="shared" si="71"/>
        <v>48562.945104166953</v>
      </c>
    </row>
    <row r="411" spans="2:11" x14ac:dyDescent="0.2">
      <c r="B411" s="108">
        <f t="shared" si="68"/>
        <v>13054680</v>
      </c>
      <c r="C411" s="5">
        <v>372</v>
      </c>
      <c r="D411" s="109">
        <f t="shared" si="69"/>
        <v>0.80615665840477024</v>
      </c>
      <c r="E411" s="110">
        <f t="shared" si="70"/>
        <v>0.2686920142463099</v>
      </c>
      <c r="F411" s="110">
        <f t="shared" si="72"/>
        <v>0.20516686956401403</v>
      </c>
      <c r="G411" s="110">
        <f t="shared" si="72"/>
        <v>3.9582291927674214E-2</v>
      </c>
      <c r="H411" s="110">
        <f t="shared" si="72"/>
        <v>1.6123133168095407E-4</v>
      </c>
      <c r="I411" s="110">
        <f t="shared" si="72"/>
        <v>0.19895946329429728</v>
      </c>
      <c r="J411" s="110">
        <f t="shared" si="72"/>
        <v>9.3594788040793825E-2</v>
      </c>
      <c r="K411" s="275">
        <f t="shared" si="71"/>
        <v>48574.295798611398</v>
      </c>
    </row>
    <row r="412" spans="2:11" x14ac:dyDescent="0.2">
      <c r="B412" s="108">
        <f t="shared" si="68"/>
        <v>13087370</v>
      </c>
      <c r="C412" s="5">
        <v>373</v>
      </c>
      <c r="D412" s="109">
        <f t="shared" si="69"/>
        <v>0.79279058100841915</v>
      </c>
      <c r="E412" s="110">
        <f t="shared" si="70"/>
        <v>0.26423710065010608</v>
      </c>
      <c r="F412" s="110">
        <f t="shared" si="72"/>
        <v>0.20176520286664268</v>
      </c>
      <c r="G412" s="110">
        <f t="shared" si="72"/>
        <v>3.892601752751338E-2</v>
      </c>
      <c r="H412" s="110">
        <f t="shared" si="72"/>
        <v>1.5855811620168385E-4</v>
      </c>
      <c r="I412" s="110">
        <f t="shared" si="72"/>
        <v>0.19566071539287783</v>
      </c>
      <c r="J412" s="110">
        <f t="shared" si="72"/>
        <v>9.2042986455077455E-2</v>
      </c>
      <c r="K412" s="275">
        <f t="shared" si="71"/>
        <v>48585.646493055843</v>
      </c>
    </row>
    <row r="413" spans="2:11" x14ac:dyDescent="0.2">
      <c r="B413" s="108">
        <f t="shared" si="68"/>
        <v>13120060</v>
      </c>
      <c r="C413" s="5">
        <v>374</v>
      </c>
      <c r="D413" s="109">
        <f t="shared" si="69"/>
        <v>0.77964611317529953</v>
      </c>
      <c r="E413" s="110">
        <f t="shared" si="70"/>
        <v>0.25985604952132735</v>
      </c>
      <c r="F413" s="110">
        <f t="shared" si="72"/>
        <v>0.19841993580311373</v>
      </c>
      <c r="G413" s="110">
        <f t="shared" si="72"/>
        <v>3.8280624156907202E-2</v>
      </c>
      <c r="H413" s="110">
        <f t="shared" si="72"/>
        <v>1.559292226350599E-4</v>
      </c>
      <c r="I413" s="110">
        <f t="shared" si="72"/>
        <v>0.19241666073166391</v>
      </c>
      <c r="J413" s="110">
        <f t="shared" si="72"/>
        <v>9.0516913739652274E-2</v>
      </c>
      <c r="K413" s="275">
        <f t="shared" si="71"/>
        <v>48596.997187500288</v>
      </c>
    </row>
    <row r="414" spans="2:11" x14ac:dyDescent="0.2">
      <c r="B414" s="108">
        <f t="shared" si="68"/>
        <v>13152750</v>
      </c>
      <c r="C414" s="5">
        <v>375</v>
      </c>
      <c r="D414" s="109">
        <f t="shared" si="69"/>
        <v>0.76671958061885304</v>
      </c>
      <c r="E414" s="110">
        <f t="shared" si="70"/>
        <v>0.25554763622026372</v>
      </c>
      <c r="F414" s="110">
        <f t="shared" si="72"/>
        <v>0.19513013326749809</v>
      </c>
      <c r="G414" s="110">
        <f t="shared" si="72"/>
        <v>3.764593140838568E-2</v>
      </c>
      <c r="H414" s="110">
        <f t="shared" si="72"/>
        <v>1.5334391612377061E-4</v>
      </c>
      <c r="I414" s="110">
        <f t="shared" si="72"/>
        <v>0.18922639249673293</v>
      </c>
      <c r="J414" s="110">
        <f t="shared" si="72"/>
        <v>8.9016143309848833E-2</v>
      </c>
      <c r="K414" s="275">
        <f t="shared" si="71"/>
        <v>48608.347881944734</v>
      </c>
    </row>
    <row r="415" spans="2:11" x14ac:dyDescent="0.2">
      <c r="B415" s="108">
        <f t="shared" si="68"/>
        <v>13185440</v>
      </c>
      <c r="C415" s="5">
        <v>376</v>
      </c>
      <c r="D415" s="109">
        <f t="shared" si="69"/>
        <v>0.75400736997219242</v>
      </c>
      <c r="E415" s="110">
        <f t="shared" si="70"/>
        <v>0.25131065641173173</v>
      </c>
      <c r="F415" s="110">
        <f t="shared" si="72"/>
        <v>0.19189487565792299</v>
      </c>
      <c r="G415" s="110">
        <f t="shared" si="72"/>
        <v>3.7021761865634648E-2</v>
      </c>
      <c r="H415" s="110">
        <f t="shared" si="72"/>
        <v>1.508014739944385E-4</v>
      </c>
      <c r="I415" s="110">
        <f t="shared" si="72"/>
        <v>0.18608901890913709</v>
      </c>
      <c r="J415" s="110">
        <f t="shared" si="72"/>
        <v>8.7540255653771534E-2</v>
      </c>
      <c r="K415" s="275">
        <f t="shared" si="71"/>
        <v>48619.698576389179</v>
      </c>
    </row>
    <row r="416" spans="2:11" x14ac:dyDescent="0.2">
      <c r="B416" s="108">
        <f t="shared" si="68"/>
        <v>13218130</v>
      </c>
      <c r="C416" s="5">
        <v>377</v>
      </c>
      <c r="D416" s="109">
        <f t="shared" si="69"/>
        <v>0.74150592777805346</v>
      </c>
      <c r="E416" s="110">
        <f t="shared" si="70"/>
        <v>0.2471439257284252</v>
      </c>
      <c r="F416" s="110">
        <f t="shared" si="72"/>
        <v>0.1887132586195146</v>
      </c>
      <c r="G416" s="110">
        <f t="shared" si="72"/>
        <v>3.6407941053902423E-2</v>
      </c>
      <c r="H416" s="110">
        <f t="shared" si="72"/>
        <v>1.4830118555561069E-4</v>
      </c>
      <c r="I416" s="110">
        <f t="shared" si="72"/>
        <v>0.18300366297562359</v>
      </c>
      <c r="J416" s="110">
        <f t="shared" si="72"/>
        <v>8.6088838215032007E-2</v>
      </c>
      <c r="K416" s="275">
        <f t="shared" si="71"/>
        <v>48631.049270833624</v>
      </c>
    </row>
    <row r="417" spans="2:11" x14ac:dyDescent="0.2">
      <c r="B417" s="108">
        <f t="shared" si="68"/>
        <v>13250820</v>
      </c>
      <c r="C417" s="5">
        <v>378</v>
      </c>
      <c r="D417" s="109">
        <f t="shared" si="69"/>
        <v>0.72921175949549333</v>
      </c>
      <c r="E417" s="110">
        <f t="shared" si="70"/>
        <v>0.24304627943984791</v>
      </c>
      <c r="F417" s="110">
        <f t="shared" si="72"/>
        <v>0.18558439279160305</v>
      </c>
      <c r="G417" s="110">
        <f t="shared" si="72"/>
        <v>3.5804297391228722E-2</v>
      </c>
      <c r="H417" s="110">
        <f t="shared" si="72"/>
        <v>1.4584235189909868E-4</v>
      </c>
      <c r="I417" s="110">
        <f t="shared" si="72"/>
        <v>0.17996946224348775</v>
      </c>
      <c r="J417" s="110">
        <f t="shared" si="72"/>
        <v>8.4661485277426771E-2</v>
      </c>
      <c r="K417" s="275">
        <f t="shared" si="71"/>
        <v>48642.399965278069</v>
      </c>
    </row>
    <row r="418" spans="2:11" x14ac:dyDescent="0.2">
      <c r="B418" s="108">
        <f t="shared" si="68"/>
        <v>13283510</v>
      </c>
      <c r="C418" s="5">
        <v>379</v>
      </c>
      <c r="D418" s="109">
        <f t="shared" si="69"/>
        <v>0.71712142852305805</v>
      </c>
      <c r="E418" s="110">
        <f t="shared" si="70"/>
        <v>0.23901657212673524</v>
      </c>
      <c r="F418" s="110">
        <f t="shared" si="72"/>
        <v>0.18250740355911826</v>
      </c>
      <c r="G418" s="110">
        <f t="shared" si="72"/>
        <v>3.521066214048215E-2</v>
      </c>
      <c r="H418" s="110">
        <f t="shared" si="72"/>
        <v>1.4342428570461162E-4</v>
      </c>
      <c r="I418" s="110">
        <f t="shared" si="72"/>
        <v>0.17698556855949071</v>
      </c>
      <c r="J418" s="110">
        <f t="shared" si="72"/>
        <v>8.3257797851527038E-2</v>
      </c>
      <c r="K418" s="275">
        <f t="shared" si="71"/>
        <v>48653.750659722515</v>
      </c>
    </row>
    <row r="419" spans="2:11" x14ac:dyDescent="0.2">
      <c r="B419" s="108">
        <f t="shared" si="68"/>
        <v>13316200</v>
      </c>
      <c r="C419" s="5">
        <v>380</v>
      </c>
      <c r="D419" s="109">
        <f t="shared" si="69"/>
        <v>0.70523155523814574</v>
      </c>
      <c r="E419" s="110">
        <f t="shared" si="70"/>
        <v>0.23505367736087396</v>
      </c>
      <c r="F419" s="110">
        <f t="shared" si="72"/>
        <v>0.17948143080810811</v>
      </c>
      <c r="G419" s="110">
        <f t="shared" si="72"/>
        <v>3.4626869362192954E-2</v>
      </c>
      <c r="H419" s="110">
        <f t="shared" si="72"/>
        <v>1.4104631104762915E-4</v>
      </c>
      <c r="I419" s="110">
        <f t="shared" si="72"/>
        <v>0.17405114783277437</v>
      </c>
      <c r="J419" s="110">
        <f t="shared" si="72"/>
        <v>8.187738356314872E-2</v>
      </c>
      <c r="K419" s="275">
        <f t="shared" si="71"/>
        <v>48665.10135416696</v>
      </c>
    </row>
    <row r="420" spans="2:11" x14ac:dyDescent="0.2">
      <c r="B420" s="108">
        <f t="shared" si="68"/>
        <v>13348890</v>
      </c>
      <c r="C420" s="5">
        <v>381</v>
      </c>
      <c r="D420" s="109">
        <f t="shared" si="69"/>
        <v>0.69353881605229728</v>
      </c>
      <c r="E420" s="110">
        <f t="shared" si="70"/>
        <v>0.23115648739023067</v>
      </c>
      <c r="F420" s="110">
        <f t="shared" si="72"/>
        <v>0.17650562868530967</v>
      </c>
      <c r="G420" s="110">
        <f t="shared" si="72"/>
        <v>3.4052755868167792E-2</v>
      </c>
      <c r="H420" s="110">
        <f t="shared" si="72"/>
        <v>1.3870776321045947E-4</v>
      </c>
      <c r="I420" s="110">
        <f t="shared" si="72"/>
        <v>0.17116537980170696</v>
      </c>
      <c r="J420" s="110">
        <f t="shared" si="72"/>
        <v>8.0519856543671706E-2</v>
      </c>
      <c r="K420" s="275">
        <f t="shared" si="71"/>
        <v>48676.452048611405</v>
      </c>
    </row>
    <row r="421" spans="2:11" x14ac:dyDescent="0.2">
      <c r="B421" s="108">
        <f t="shared" si="68"/>
        <v>13381580</v>
      </c>
      <c r="C421" s="5">
        <v>382</v>
      </c>
      <c r="D421" s="109">
        <f t="shared" si="69"/>
        <v>0.68203994248215016</v>
      </c>
      <c r="E421" s="110">
        <f t="shared" si="70"/>
        <v>0.22732391282930065</v>
      </c>
      <c r="F421" s="110">
        <f t="shared" si="72"/>
        <v>0.17357916536170723</v>
      </c>
      <c r="G421" s="110">
        <f t="shared" si="72"/>
        <v>3.3488161175873568E-2</v>
      </c>
      <c r="H421" s="110">
        <f t="shared" si="72"/>
        <v>1.3640798849643004E-4</v>
      </c>
      <c r="I421" s="110">
        <f t="shared" si="72"/>
        <v>0.16832745780459465</v>
      </c>
      <c r="J421" s="110">
        <f t="shared" si="72"/>
        <v>7.9184837322177626E-2</v>
      </c>
      <c r="K421" s="275">
        <f t="shared" si="71"/>
        <v>48687.80274305585</v>
      </c>
    </row>
    <row r="422" spans="2:11" x14ac:dyDescent="0.2">
      <c r="B422" s="108">
        <f t="shared" si="68"/>
        <v>13414270</v>
      </c>
      <c r="C422" s="5">
        <v>383</v>
      </c>
      <c r="D422" s="109">
        <f t="shared" si="69"/>
        <v>0.67073172023579608</v>
      </c>
      <c r="E422" s="110">
        <f t="shared" si="70"/>
        <v>0.22355488235459081</v>
      </c>
      <c r="F422" s="110">
        <f t="shared" si="72"/>
        <v>0.1707012228000101</v>
      </c>
      <c r="G422" s="110">
        <f t="shared" si="72"/>
        <v>3.2932927463577587E-2</v>
      </c>
      <c r="H422" s="110">
        <f t="shared" si="72"/>
        <v>1.3414634404715922E-4</v>
      </c>
      <c r="I422" s="110">
        <f t="shared" si="72"/>
        <v>0.16553658855419448</v>
      </c>
      <c r="J422" s="110">
        <f t="shared" si="72"/>
        <v>7.7871952719375928E-2</v>
      </c>
      <c r="K422" s="275">
        <f t="shared" si="71"/>
        <v>48699.153437500296</v>
      </c>
    </row>
    <row r="423" spans="2:11" x14ac:dyDescent="0.2">
      <c r="B423" s="108">
        <f t="shared" si="68"/>
        <v>13446960</v>
      </c>
      <c r="C423" s="5">
        <v>384</v>
      </c>
      <c r="D423" s="109">
        <f t="shared" si="69"/>
        <v>0.65961098831428655</v>
      </c>
      <c r="E423" s="110">
        <f t="shared" si="70"/>
        <v>0.21984834240515169</v>
      </c>
      <c r="F423" s="110">
        <f t="shared" si="72"/>
        <v>0.16787099652598592</v>
      </c>
      <c r="G423" s="110">
        <f t="shared" si="72"/>
        <v>3.2386899526231465E-2</v>
      </c>
      <c r="H423" s="110">
        <f t="shared" si="72"/>
        <v>1.3192219766285733E-4</v>
      </c>
      <c r="I423" s="110">
        <f t="shared" si="72"/>
        <v>0.16279199191596591</v>
      </c>
      <c r="J423" s="110">
        <f t="shared" si="72"/>
        <v>7.6580835743288667E-2</v>
      </c>
      <c r="K423" s="275">
        <f t="shared" si="71"/>
        <v>48710.504131944741</v>
      </c>
    </row>
    <row r="424" spans="2:11" x14ac:dyDescent="0.2">
      <c r="B424" s="108">
        <f t="shared" ref="B424:B487" si="73">B423+$B$22</f>
        <v>13479650</v>
      </c>
      <c r="C424" s="5">
        <v>385</v>
      </c>
      <c r="D424" s="109">
        <f t="shared" ref="D424:D487" si="74">D423*(1-$C$22)</f>
        <v>0.64867463812803561</v>
      </c>
      <c r="E424" s="110">
        <f t="shared" si="70"/>
        <v>0.21620325688807426</v>
      </c>
      <c r="F424" s="110">
        <f t="shared" si="72"/>
        <v>0.16508769540358506</v>
      </c>
      <c r="G424" s="110">
        <f t="shared" si="72"/>
        <v>3.1849924732086546E-2</v>
      </c>
      <c r="H424" s="110">
        <f t="shared" si="72"/>
        <v>1.2973492762560713E-4</v>
      </c>
      <c r="I424" s="110">
        <f t="shared" si="72"/>
        <v>0.16009290068999918</v>
      </c>
      <c r="J424" s="110">
        <f t="shared" si="72"/>
        <v>7.5311125486664937E-2</v>
      </c>
      <c r="K424" s="275">
        <f t="shared" si="71"/>
        <v>48721.854826389186</v>
      </c>
    </row>
    <row r="425" spans="2:11" x14ac:dyDescent="0.2">
      <c r="B425" s="108">
        <f t="shared" si="73"/>
        <v>13512340</v>
      </c>
      <c r="C425" s="5">
        <v>386</v>
      </c>
      <c r="D425" s="109">
        <f t="shared" si="74"/>
        <v>0.63791961262787278</v>
      </c>
      <c r="E425" s="110">
        <f t="shared" si="70"/>
        <v>0.21261860688886999</v>
      </c>
      <c r="F425" s="110">
        <f t="shared" si="72"/>
        <v>0.16235054141379363</v>
      </c>
      <c r="G425" s="110">
        <f t="shared" si="72"/>
        <v>3.1321852980028549E-2</v>
      </c>
      <c r="H425" s="110">
        <f t="shared" si="72"/>
        <v>1.2758392252557456E-4</v>
      </c>
      <c r="I425" s="110">
        <f t="shared" si="72"/>
        <v>0.15743856039655899</v>
      </c>
      <c r="J425" s="110">
        <f t="shared" si="72"/>
        <v>7.4062467026096021E-2</v>
      </c>
      <c r="K425" s="275">
        <f t="shared" si="71"/>
        <v>48733.205520833631</v>
      </c>
    </row>
    <row r="426" spans="2:11" x14ac:dyDescent="0.2">
      <c r="B426" s="108">
        <f t="shared" si="73"/>
        <v>13545030</v>
      </c>
      <c r="C426" s="5">
        <v>387</v>
      </c>
      <c r="D426" s="109">
        <f t="shared" si="74"/>
        <v>0.62734290545050264</v>
      </c>
      <c r="E426" s="110">
        <f t="shared" si="70"/>
        <v>0.20909339038665253</v>
      </c>
      <c r="F426" s="110">
        <f t="shared" si="72"/>
        <v>0.15965876943715293</v>
      </c>
      <c r="G426" s="110">
        <f t="shared" si="72"/>
        <v>3.0802536657619679E-2</v>
      </c>
      <c r="H426" s="110">
        <f t="shared" si="72"/>
        <v>1.2546858109010054E-4</v>
      </c>
      <c r="I426" s="110">
        <f t="shared" si="72"/>
        <v>0.15482822906518404</v>
      </c>
      <c r="J426" s="110">
        <f t="shared" si="72"/>
        <v>7.2834511322803358E-2</v>
      </c>
      <c r="K426" s="275">
        <f t="shared" si="71"/>
        <v>48744.556215278077</v>
      </c>
    </row>
    <row r="427" spans="2:11" x14ac:dyDescent="0.2">
      <c r="B427" s="108">
        <f t="shared" si="73"/>
        <v>13577720</v>
      </c>
      <c r="C427" s="5">
        <v>388</v>
      </c>
      <c r="D427" s="109">
        <f t="shared" si="74"/>
        <v>0.61694156007813328</v>
      </c>
      <c r="E427" s="110">
        <f t="shared" si="70"/>
        <v>0.2056266219740418</v>
      </c>
      <c r="F427" s="110">
        <f t="shared" si="72"/>
        <v>0.15701162703988492</v>
      </c>
      <c r="G427" s="110">
        <f t="shared" si="72"/>
        <v>3.0291830599836343E-2</v>
      </c>
      <c r="H427" s="110">
        <f t="shared" si="72"/>
        <v>1.2338831201562665E-4</v>
      </c>
      <c r="I427" s="110">
        <f t="shared" si="72"/>
        <v>0.15226117702728328</v>
      </c>
      <c r="J427" s="110">
        <f t="shared" si="72"/>
        <v>7.1626915125071272E-2</v>
      </c>
      <c r="K427" s="275">
        <f t="shared" si="71"/>
        <v>48755.906909722522</v>
      </c>
    </row>
    <row r="428" spans="2:11" x14ac:dyDescent="0.2">
      <c r="B428" s="108">
        <f t="shared" si="73"/>
        <v>13610410</v>
      </c>
      <c r="C428" s="5">
        <v>389</v>
      </c>
      <c r="D428" s="109">
        <f t="shared" si="74"/>
        <v>0.6067126690120378</v>
      </c>
      <c r="E428" s="110">
        <f t="shared" ref="E428:E491" si="75">D428*E$37</f>
        <v>0.20221733258171218</v>
      </c>
      <c r="F428" s="110">
        <f t="shared" si="72"/>
        <v>0.15440837426356363</v>
      </c>
      <c r="G428" s="110">
        <f t="shared" si="72"/>
        <v>2.9789592048491055E-2</v>
      </c>
      <c r="H428" s="110">
        <f t="shared" si="72"/>
        <v>1.2134253380240757E-4</v>
      </c>
      <c r="I428" s="110">
        <f t="shared" si="72"/>
        <v>0.14973668671217091</v>
      </c>
      <c r="J428" s="110">
        <f t="shared" si="72"/>
        <v>7.0439340872297584E-2</v>
      </c>
      <c r="K428" s="275">
        <f t="shared" si="71"/>
        <v>48767.257604166967</v>
      </c>
    </row>
    <row r="429" spans="2:11" x14ac:dyDescent="0.2">
      <c r="B429" s="108">
        <f t="shared" si="73"/>
        <v>13643100</v>
      </c>
      <c r="C429" s="5">
        <v>390</v>
      </c>
      <c r="D429" s="109">
        <f t="shared" si="74"/>
        <v>0.59665337295981824</v>
      </c>
      <c r="E429" s="110">
        <f t="shared" si="75"/>
        <v>0.19886456920750742</v>
      </c>
      <c r="F429" s="110">
        <f t="shared" si="72"/>
        <v>0.15184828341827375</v>
      </c>
      <c r="G429" s="110">
        <f t="shared" si="72"/>
        <v>2.9295680612327075E-2</v>
      </c>
      <c r="H429" s="110">
        <f t="shared" si="72"/>
        <v>1.1933067459196365E-4</v>
      </c>
      <c r="I429" s="110">
        <f t="shared" si="72"/>
        <v>0.14725405244648312</v>
      </c>
      <c r="J429" s="110">
        <f t="shared" si="72"/>
        <v>6.9271456600634898E-2</v>
      </c>
      <c r="K429" s="275">
        <f t="shared" si="71"/>
        <v>48778.608298611412</v>
      </c>
    </row>
    <row r="430" spans="2:11" x14ac:dyDescent="0.2">
      <c r="B430" s="108">
        <f t="shared" si="73"/>
        <v>13675790</v>
      </c>
      <c r="C430" s="5">
        <v>391</v>
      </c>
      <c r="D430" s="109">
        <f t="shared" si="74"/>
        <v>0.58676086003614447</v>
      </c>
      <c r="E430" s="110">
        <f t="shared" si="75"/>
        <v>0.19556739465004694</v>
      </c>
      <c r="F430" s="110">
        <f t="shared" si="72"/>
        <v>0.14933063887919876</v>
      </c>
      <c r="G430" s="110">
        <f t="shared" si="72"/>
        <v>2.8809958227774692E-2</v>
      </c>
      <c r="H430" s="110">
        <f t="shared" si="72"/>
        <v>1.1735217200722891E-4</v>
      </c>
      <c r="I430" s="110">
        <f t="shared" si="72"/>
        <v>0.14481258025692045</v>
      </c>
      <c r="J430" s="110">
        <f t="shared" si="72"/>
        <v>6.8122935850196367E-2</v>
      </c>
      <c r="K430" s="275">
        <f t="shared" si="71"/>
        <v>48789.958993055858</v>
      </c>
    </row>
    <row r="431" spans="2:11" x14ac:dyDescent="0.2">
      <c r="B431" s="108">
        <f t="shared" si="73"/>
        <v>13708480</v>
      </c>
      <c r="C431" s="5">
        <v>392</v>
      </c>
      <c r="D431" s="109">
        <f t="shared" si="74"/>
        <v>0.57703236497674515</v>
      </c>
      <c r="E431" s="110">
        <f t="shared" si="75"/>
        <v>0.19232488724674915</v>
      </c>
      <c r="F431" s="110">
        <f t="shared" si="72"/>
        <v>0.14685473688658165</v>
      </c>
      <c r="G431" s="110">
        <f t="shared" si="72"/>
        <v>2.8332289120358185E-2</v>
      </c>
      <c r="H431" s="110">
        <f t="shared" si="72"/>
        <v>1.1540647299534904E-4</v>
      </c>
      <c r="I431" s="110">
        <f t="shared" si="72"/>
        <v>0.14241158767626069</v>
      </c>
      <c r="J431" s="110">
        <f t="shared" si="72"/>
        <v>6.6993457573800111E-2</v>
      </c>
      <c r="K431" s="275">
        <f t="shared" si="71"/>
        <v>48801.309687500303</v>
      </c>
    </row>
    <row r="432" spans="2:11" x14ac:dyDescent="0.2">
      <c r="B432" s="108">
        <f t="shared" si="73"/>
        <v>13741170</v>
      </c>
      <c r="C432" s="5">
        <v>393</v>
      </c>
      <c r="D432" s="109">
        <f t="shared" si="74"/>
        <v>0.56746516836543071</v>
      </c>
      <c r="E432" s="110">
        <f t="shared" si="75"/>
        <v>0.18913614061619805</v>
      </c>
      <c r="F432" s="110">
        <f t="shared" si="72"/>
        <v>0.14441988534900213</v>
      </c>
      <c r="G432" s="110">
        <f t="shared" si="72"/>
        <v>2.7862539766742647E-2</v>
      </c>
      <c r="H432" s="110">
        <f t="shared" si="72"/>
        <v>1.1349303367308615E-4</v>
      </c>
      <c r="I432" s="110">
        <f t="shared" si="72"/>
        <v>0.1400504035525883</v>
      </c>
      <c r="J432" s="110">
        <f t="shared" si="72"/>
        <v>6.58827060472265E-2</v>
      </c>
      <c r="K432" s="275">
        <f t="shared" si="71"/>
        <v>48812.660381944748</v>
      </c>
    </row>
    <row r="433" spans="2:11" x14ac:dyDescent="0.2">
      <c r="B433" s="108">
        <f t="shared" si="73"/>
        <v>13773860</v>
      </c>
      <c r="C433" s="5">
        <v>394</v>
      </c>
      <c r="D433" s="109">
        <f t="shared" si="74"/>
        <v>0.55805659587393186</v>
      </c>
      <c r="E433" s="110">
        <f t="shared" si="75"/>
        <v>0.18600026340478149</v>
      </c>
      <c r="F433" s="110">
        <f t="shared" si="72"/>
        <v>0.14202540364991567</v>
      </c>
      <c r="G433" s="110">
        <f t="shared" si="72"/>
        <v>2.7400578857410055E-2</v>
      </c>
      <c r="H433" s="110">
        <f t="shared" si="72"/>
        <v>1.1161131917478637E-4</v>
      </c>
      <c r="I433" s="110">
        <f t="shared" si="72"/>
        <v>0.13772836786168638</v>
      </c>
      <c r="J433" s="110">
        <f t="shared" si="72"/>
        <v>6.4790370780963488E-2</v>
      </c>
      <c r="K433" s="275">
        <f t="shared" si="71"/>
        <v>48824.011076389193</v>
      </c>
    </row>
    <row r="434" spans="2:11" x14ac:dyDescent="0.2">
      <c r="B434" s="108">
        <f t="shared" si="73"/>
        <v>13806550</v>
      </c>
      <c r="C434" s="5">
        <v>395</v>
      </c>
      <c r="D434" s="109">
        <f t="shared" si="74"/>
        <v>0.54880401751434205</v>
      </c>
      <c r="E434" s="110">
        <f t="shared" si="75"/>
        <v>0.18291637903753019</v>
      </c>
      <c r="F434" s="110">
        <f t="shared" ref="F434:J484" si="76">$D434*F$37</f>
        <v>0.13967062245740006</v>
      </c>
      <c r="G434" s="110">
        <f t="shared" si="76"/>
        <v>2.6946277259954195E-2</v>
      </c>
      <c r="H434" s="110">
        <f t="shared" si="76"/>
        <v>1.0976080350286841E-4</v>
      </c>
      <c r="I434" s="110">
        <f t="shared" si="76"/>
        <v>0.13544483152253961</v>
      </c>
      <c r="J434" s="110">
        <f t="shared" si="76"/>
        <v>6.3716146433415111E-2</v>
      </c>
      <c r="K434" s="275">
        <f t="shared" si="71"/>
        <v>48835.361770833639</v>
      </c>
    </row>
    <row r="435" spans="2:11" x14ac:dyDescent="0.2">
      <c r="B435" s="108">
        <f t="shared" si="73"/>
        <v>13839240</v>
      </c>
      <c r="C435" s="5">
        <v>396</v>
      </c>
      <c r="D435" s="109">
        <f t="shared" si="74"/>
        <v>0.53970484690395426</v>
      </c>
      <c r="E435" s="110">
        <f t="shared" si="75"/>
        <v>0.17988362547308795</v>
      </c>
      <c r="F435" s="110">
        <f t="shared" si="76"/>
        <v>0.13735488353705635</v>
      </c>
      <c r="G435" s="110">
        <f t="shared" si="76"/>
        <v>2.6499507982984154E-2</v>
      </c>
      <c r="H435" s="110">
        <f t="shared" si="76"/>
        <v>1.0794096938079086E-4</v>
      </c>
      <c r="I435" s="110">
        <f t="shared" si="76"/>
        <v>0.1331991562158959</v>
      </c>
      <c r="J435" s="110">
        <f t="shared" si="76"/>
        <v>6.2659732725549089E-2</v>
      </c>
      <c r="K435" s="275">
        <f t="shared" si="71"/>
        <v>48846.712465278084</v>
      </c>
    </row>
    <row r="436" spans="2:11" x14ac:dyDescent="0.2">
      <c r="B436" s="108">
        <f t="shared" si="73"/>
        <v>13871930</v>
      </c>
      <c r="C436" s="5">
        <v>397</v>
      </c>
      <c r="D436" s="109">
        <f t="shared" si="74"/>
        <v>0.53075654054228671</v>
      </c>
      <c r="E436" s="110">
        <f t="shared" si="75"/>
        <v>0.17690115496274417</v>
      </c>
      <c r="F436" s="110">
        <f t="shared" si="76"/>
        <v>0.13507753956801197</v>
      </c>
      <c r="G436" s="110">
        <f t="shared" si="76"/>
        <v>2.6060146140626277E-2</v>
      </c>
      <c r="H436" s="110">
        <f t="shared" si="76"/>
        <v>1.0615130810845735E-4</v>
      </c>
      <c r="I436" s="110">
        <f t="shared" si="76"/>
        <v>0.13099071420583636</v>
      </c>
      <c r="J436" s="110">
        <f t="shared" si="76"/>
        <v>6.1620834356959482E-2</v>
      </c>
      <c r="K436" s="275">
        <f t="shared" si="71"/>
        <v>48858.063159722529</v>
      </c>
    </row>
    <row r="437" spans="2:11" x14ac:dyDescent="0.2">
      <c r="B437" s="108">
        <f t="shared" si="73"/>
        <v>13904620</v>
      </c>
      <c r="C437" s="5">
        <v>398</v>
      </c>
      <c r="D437" s="109">
        <f t="shared" si="74"/>
        <v>0.52195659710009557</v>
      </c>
      <c r="E437" s="110">
        <f t="shared" si="75"/>
        <v>0.17396813381346185</v>
      </c>
      <c r="F437" s="110">
        <f t="shared" si="76"/>
        <v>0.13283795396197431</v>
      </c>
      <c r="G437" s="110">
        <f t="shared" si="76"/>
        <v>2.5628068917614689E-2</v>
      </c>
      <c r="H437" s="110">
        <f t="shared" si="76"/>
        <v>1.0439131942001912E-4</v>
      </c>
      <c r="I437" s="110">
        <f t="shared" si="76"/>
        <v>0.12881888816430359</v>
      </c>
      <c r="J437" s="110">
        <f t="shared" si="76"/>
        <v>6.0599160923321092E-2</v>
      </c>
      <c r="K437" s="275">
        <f t="shared" si="71"/>
        <v>48869.413854166974</v>
      </c>
    </row>
    <row r="438" spans="2:11" x14ac:dyDescent="0.2">
      <c r="B438" s="108">
        <f t="shared" si="73"/>
        <v>13937310</v>
      </c>
      <c r="C438" s="5">
        <v>399</v>
      </c>
      <c r="D438" s="109">
        <f t="shared" si="74"/>
        <v>0.513302556720176</v>
      </c>
      <c r="E438" s="110">
        <f t="shared" si="75"/>
        <v>0.17108374215483466</v>
      </c>
      <c r="F438" s="110">
        <f t="shared" si="76"/>
        <v>0.13063550068528479</v>
      </c>
      <c r="G438" s="110">
        <f t="shared" si="76"/>
        <v>2.520315553496064E-2</v>
      </c>
      <c r="H438" s="110">
        <f t="shared" si="76"/>
        <v>1.026605113440352E-4</v>
      </c>
      <c r="I438" s="110">
        <f t="shared" si="76"/>
        <v>0.12668307099853943</v>
      </c>
      <c r="J438" s="110">
        <f t="shared" si="76"/>
        <v>5.9594426835212433E-2</v>
      </c>
      <c r="K438" s="275">
        <f t="shared" si="71"/>
        <v>48880.76454861142</v>
      </c>
    </row>
    <row r="439" spans="2:11" x14ac:dyDescent="0.2">
      <c r="B439" s="108">
        <f t="shared" si="73"/>
        <v>13970000</v>
      </c>
      <c r="C439" s="5">
        <v>400</v>
      </c>
      <c r="D439" s="109">
        <f t="shared" si="74"/>
        <v>0.50479200032975546</v>
      </c>
      <c r="E439" s="110">
        <f t="shared" si="75"/>
        <v>0.16824717370990749</v>
      </c>
      <c r="F439" s="110">
        <f t="shared" si="76"/>
        <v>0.12846956408392277</v>
      </c>
      <c r="G439" s="110">
        <f t="shared" si="76"/>
        <v>2.4785287216190992E-2</v>
      </c>
      <c r="H439" s="110">
        <f t="shared" si="76"/>
        <v>1.009584000659511E-4</v>
      </c>
      <c r="I439" s="110">
        <f t="shared" si="76"/>
        <v>0.12458266568138364</v>
      </c>
      <c r="J439" s="110">
        <f t="shared" si="76"/>
        <v>5.8606351238284608E-2</v>
      </c>
      <c r="K439" s="275">
        <f t="shared" si="71"/>
        <v>48892.115243055865</v>
      </c>
    </row>
    <row r="440" spans="2:11" x14ac:dyDescent="0.2">
      <c r="B440" s="108">
        <f t="shared" si="73"/>
        <v>14002690</v>
      </c>
      <c r="C440" s="5">
        <v>401</v>
      </c>
      <c r="D440" s="109">
        <f t="shared" si="74"/>
        <v>0.49642254896428811</v>
      </c>
      <c r="E440" s="110">
        <f t="shared" si="75"/>
        <v>0.16545763556979723</v>
      </c>
      <c r="F440" s="110">
        <f t="shared" si="76"/>
        <v>0.12633953871141132</v>
      </c>
      <c r="G440" s="110">
        <f t="shared" si="76"/>
        <v>2.4374347154146544E-2</v>
      </c>
      <c r="H440" s="110">
        <f t="shared" si="76"/>
        <v>9.9284509792857634E-5</v>
      </c>
      <c r="I440" s="110">
        <f t="shared" si="76"/>
        <v>0.1225170850843863</v>
      </c>
      <c r="J440" s="110">
        <f t="shared" si="76"/>
        <v>5.763465793475385E-2</v>
      </c>
      <c r="K440" s="275">
        <f t="shared" si="71"/>
        <v>48903.46593750031</v>
      </c>
    </row>
    <row r="441" spans="2:11" x14ac:dyDescent="0.2">
      <c r="B441" s="108">
        <f t="shared" si="73"/>
        <v>14035380</v>
      </c>
      <c r="C441" s="5">
        <v>402</v>
      </c>
      <c r="D441" s="109">
        <f t="shared" si="74"/>
        <v>0.48819186310246021</v>
      </c>
      <c r="E441" s="110">
        <f t="shared" si="75"/>
        <v>0.16271434797204998</v>
      </c>
      <c r="F441" s="110">
        <f t="shared" si="76"/>
        <v>0.12424482915957613</v>
      </c>
      <c r="G441" s="110">
        <f t="shared" si="76"/>
        <v>2.3970220478330796E-2</v>
      </c>
      <c r="H441" s="110">
        <f t="shared" si="76"/>
        <v>9.7638372620492041E-5</v>
      </c>
      <c r="I441" s="110">
        <f t="shared" si="76"/>
        <v>0.12048575181368718</v>
      </c>
      <c r="J441" s="110">
        <f t="shared" si="76"/>
        <v>5.6679075306195627E-2</v>
      </c>
      <c r="K441" s="275">
        <f t="shared" si="71"/>
        <v>48914.816631944755</v>
      </c>
    </row>
    <row r="442" spans="2:11" x14ac:dyDescent="0.2">
      <c r="B442" s="108">
        <f t="shared" si="73"/>
        <v>14068070</v>
      </c>
      <c r="C442" s="5">
        <v>403</v>
      </c>
      <c r="D442" s="109">
        <f t="shared" si="74"/>
        <v>0.48009764201222138</v>
      </c>
      <c r="E442" s="110">
        <f t="shared" si="75"/>
        <v>0.16001654408267338</v>
      </c>
      <c r="F442" s="110">
        <f t="shared" si="76"/>
        <v>0.12218484989211034</v>
      </c>
      <c r="G442" s="110">
        <f t="shared" si="76"/>
        <v>2.3572794222800068E-2</v>
      </c>
      <c r="H442" s="110">
        <f t="shared" si="76"/>
        <v>9.601952840244428E-5</v>
      </c>
      <c r="I442" s="110">
        <f t="shared" si="76"/>
        <v>0.11848809804861624</v>
      </c>
      <c r="J442" s="110">
        <f t="shared" si="76"/>
        <v>5.5739336237618897E-2</v>
      </c>
      <c r="K442" s="275">
        <f t="shared" ref="K442:K505" si="77">K441+($D$22/24/60/60)*$B$22</f>
        <v>48926.167326389201</v>
      </c>
    </row>
    <row r="443" spans="2:11" x14ac:dyDescent="0.2">
      <c r="B443" s="108">
        <f t="shared" si="73"/>
        <v>14100760</v>
      </c>
      <c r="C443" s="5">
        <v>404</v>
      </c>
      <c r="D443" s="109">
        <f t="shared" si="74"/>
        <v>0.47213762310765872</v>
      </c>
      <c r="E443" s="110">
        <f t="shared" si="75"/>
        <v>0.15736346978178264</v>
      </c>
      <c r="F443" s="110">
        <f t="shared" si="76"/>
        <v>0.12015902508089915</v>
      </c>
      <c r="G443" s="110">
        <f t="shared" si="76"/>
        <v>2.3181957294586043E-2</v>
      </c>
      <c r="H443" s="110">
        <f t="shared" si="76"/>
        <v>9.4427524621531746E-5</v>
      </c>
      <c r="I443" s="110">
        <f t="shared" si="76"/>
        <v>0.11652356538297017</v>
      </c>
      <c r="J443" s="110">
        <f t="shared" si="76"/>
        <v>5.4815178042799173E-2</v>
      </c>
      <c r="K443" s="275">
        <f t="shared" si="77"/>
        <v>48937.518020833646</v>
      </c>
    </row>
    <row r="444" spans="2:11" x14ac:dyDescent="0.2">
      <c r="B444" s="108">
        <f t="shared" si="73"/>
        <v>14133450</v>
      </c>
      <c r="C444" s="5">
        <v>405</v>
      </c>
      <c r="D444" s="109">
        <f t="shared" si="74"/>
        <v>0.46430958131653371</v>
      </c>
      <c r="E444" s="110">
        <f t="shared" si="75"/>
        <v>0.15475438345280068</v>
      </c>
      <c r="F444" s="110">
        <f t="shared" si="76"/>
        <v>0.11816678844505783</v>
      </c>
      <c r="G444" s="110">
        <f t="shared" si="76"/>
        <v>2.2797600442641803E-2</v>
      </c>
      <c r="H444" s="110">
        <f t="shared" si="76"/>
        <v>9.2861916263306741E-5</v>
      </c>
      <c r="I444" s="110">
        <f t="shared" si="76"/>
        <v>0.11459160466892052</v>
      </c>
      <c r="J444" s="110">
        <f t="shared" si="76"/>
        <v>5.3906342390849564E-2</v>
      </c>
      <c r="K444" s="275">
        <f t="shared" si="77"/>
        <v>48948.868715278091</v>
      </c>
    </row>
    <row r="445" spans="2:11" x14ac:dyDescent="0.2">
      <c r="B445" s="108">
        <f t="shared" si="73"/>
        <v>14166140</v>
      </c>
      <c r="C445" s="5">
        <v>406</v>
      </c>
      <c r="D445" s="109">
        <f t="shared" si="74"/>
        <v>0.45661132845830554</v>
      </c>
      <c r="E445" s="110">
        <f t="shared" si="75"/>
        <v>0.15218855577515322</v>
      </c>
      <c r="F445" s="110">
        <f t="shared" si="76"/>
        <v>0.11620758309263876</v>
      </c>
      <c r="G445" s="110">
        <f t="shared" si="76"/>
        <v>2.2419616227302801E-2</v>
      </c>
      <c r="H445" s="110">
        <f t="shared" si="76"/>
        <v>9.1322265691661113E-5</v>
      </c>
      <c r="I445" s="110">
        <f t="shared" si="76"/>
        <v>0.11269167586350981</v>
      </c>
      <c r="J445" s="110">
        <f t="shared" si="76"/>
        <v>5.301257523400927E-2</v>
      </c>
      <c r="K445" s="275">
        <f t="shared" si="77"/>
        <v>48960.219409722537</v>
      </c>
    </row>
    <row r="446" spans="2:11" x14ac:dyDescent="0.2">
      <c r="B446" s="108">
        <f t="shared" si="73"/>
        <v>14198830</v>
      </c>
      <c r="C446" s="5">
        <v>407</v>
      </c>
      <c r="D446" s="109">
        <f t="shared" si="74"/>
        <v>0.44904071263246681</v>
      </c>
      <c r="E446" s="110">
        <f t="shared" si="75"/>
        <v>0.14966526952040118</v>
      </c>
      <c r="F446" s="110">
        <f t="shared" si="76"/>
        <v>0.11428086136496281</v>
      </c>
      <c r="G446" s="110">
        <f t="shared" si="76"/>
        <v>2.2047898990254118E-2</v>
      </c>
      <c r="H446" s="110">
        <f t="shared" si="76"/>
        <v>8.9808142526493366E-5</v>
      </c>
      <c r="I446" s="110">
        <f t="shared" si="76"/>
        <v>0.11082324787769281</v>
      </c>
      <c r="J446" s="110">
        <f t="shared" si="76"/>
        <v>5.2133626736629392E-2</v>
      </c>
      <c r="K446" s="275">
        <f t="shared" si="77"/>
        <v>48971.570104166982</v>
      </c>
    </row>
    <row r="447" spans="2:11" x14ac:dyDescent="0.2">
      <c r="B447" s="108">
        <f t="shared" si="73"/>
        <v>14231520</v>
      </c>
      <c r="C447" s="5">
        <v>408</v>
      </c>
      <c r="D447" s="109">
        <f t="shared" si="74"/>
        <v>0.44159561761702049</v>
      </c>
      <c r="E447" s="110">
        <f t="shared" si="75"/>
        <v>0.14718381935175293</v>
      </c>
      <c r="F447" s="110">
        <f t="shared" si="76"/>
        <v>0.11238608468353171</v>
      </c>
      <c r="G447" s="110">
        <f t="shared" si="76"/>
        <v>2.1682344824995706E-2</v>
      </c>
      <c r="H447" s="110">
        <f t="shared" si="76"/>
        <v>8.8319123523404104E-5</v>
      </c>
      <c r="I447" s="110">
        <f t="shared" si="76"/>
        <v>0.10898579842788066</v>
      </c>
      <c r="J447" s="110">
        <f t="shared" si="76"/>
        <v>5.1269251205336076E-2</v>
      </c>
      <c r="K447" s="275">
        <f t="shared" si="77"/>
        <v>48982.920798611427</v>
      </c>
    </row>
    <row r="448" spans="2:11" x14ac:dyDescent="0.2">
      <c r="B448" s="108">
        <f t="shared" si="73"/>
        <v>14264210</v>
      </c>
      <c r="C448" s="5">
        <v>409</v>
      </c>
      <c r="D448" s="109">
        <f t="shared" si="74"/>
        <v>0.43427396227693027</v>
      </c>
      <c r="E448" s="110">
        <f t="shared" si="75"/>
        <v>0.14474351162690086</v>
      </c>
      <c r="F448" s="110">
        <f t="shared" si="76"/>
        <v>0.11052272339947876</v>
      </c>
      <c r="G448" s="110">
        <f t="shared" si="76"/>
        <v>2.1322851547797277E-2</v>
      </c>
      <c r="H448" s="110">
        <f t="shared" si="76"/>
        <v>8.6854792455386053E-5</v>
      </c>
      <c r="I448" s="110">
        <f t="shared" si="76"/>
        <v>0.10717881388994639</v>
      </c>
      <c r="J448" s="110">
        <f t="shared" si="76"/>
        <v>5.0419207020351603E-2</v>
      </c>
      <c r="K448" s="275">
        <f t="shared" si="77"/>
        <v>48994.271493055872</v>
      </c>
    </row>
    <row r="449" spans="2:11" x14ac:dyDescent="0.2">
      <c r="B449" s="108">
        <f t="shared" si="73"/>
        <v>14296900</v>
      </c>
      <c r="C449" s="5">
        <v>410</v>
      </c>
      <c r="D449" s="109">
        <f t="shared" si="74"/>
        <v>0.42707369998237876</v>
      </c>
      <c r="E449" s="110">
        <f t="shared" si="75"/>
        <v>0.14234366420412684</v>
      </c>
      <c r="F449" s="110">
        <f t="shared" si="76"/>
        <v>0.10869025664551539</v>
      </c>
      <c r="G449" s="110">
        <f t="shared" si="76"/>
        <v>2.0969318669134797E-2</v>
      </c>
      <c r="H449" s="110">
        <f t="shared" si="76"/>
        <v>8.541473999647575E-5</v>
      </c>
      <c r="I449" s="110">
        <f t="shared" si="76"/>
        <v>0.10540178915565107</v>
      </c>
      <c r="J449" s="110">
        <f t="shared" si="76"/>
        <v>4.9583256567954169E-2</v>
      </c>
      <c r="K449" s="275">
        <f t="shared" si="77"/>
        <v>49005.622187500318</v>
      </c>
    </row>
    <row r="450" spans="2:11" x14ac:dyDescent="0.2">
      <c r="B450" s="108">
        <f t="shared" si="73"/>
        <v>14329590</v>
      </c>
      <c r="C450" s="5">
        <v>411</v>
      </c>
      <c r="D450" s="109">
        <f t="shared" si="74"/>
        <v>0.41999281803667088</v>
      </c>
      <c r="E450" s="110">
        <f t="shared" si="75"/>
        <v>0.1399836062516224</v>
      </c>
      <c r="F450" s="110">
        <f t="shared" si="76"/>
        <v>0.10688817219033274</v>
      </c>
      <c r="G450" s="110">
        <f t="shared" si="76"/>
        <v>2.0621647365600539E-2</v>
      </c>
      <c r="H450" s="110">
        <f t="shared" si="76"/>
        <v>8.3998563607334175E-5</v>
      </c>
      <c r="I450" s="110">
        <f t="shared" si="76"/>
        <v>0.10365422749145037</v>
      </c>
      <c r="J450" s="110">
        <f t="shared" si="76"/>
        <v>4.8761166174057485E-2</v>
      </c>
      <c r="K450" s="275">
        <f t="shared" si="77"/>
        <v>49016.972881944763</v>
      </c>
    </row>
    <row r="451" spans="2:11" x14ac:dyDescent="0.2">
      <c r="B451" s="108">
        <f t="shared" si="73"/>
        <v>14362280</v>
      </c>
      <c r="C451" s="5">
        <v>412</v>
      </c>
      <c r="D451" s="109">
        <f t="shared" si="74"/>
        <v>0.41302933711362289</v>
      </c>
      <c r="E451" s="110">
        <f t="shared" si="75"/>
        <v>0.13766267805997051</v>
      </c>
      <c r="F451" s="110">
        <f t="shared" si="76"/>
        <v>0.10511596629541703</v>
      </c>
      <c r="G451" s="110">
        <f t="shared" si="76"/>
        <v>2.0279740452278882E-2</v>
      </c>
      <c r="H451" s="110">
        <f t="shared" si="76"/>
        <v>8.2605867422724577E-5</v>
      </c>
      <c r="I451" s="110">
        <f t="shared" si="76"/>
        <v>0.10193564039964212</v>
      </c>
      <c r="J451" s="110">
        <f t="shared" si="76"/>
        <v>4.7952706038891617E-2</v>
      </c>
      <c r="K451" s="275">
        <f t="shared" si="77"/>
        <v>49028.323576389208</v>
      </c>
    </row>
    <row r="452" spans="2:11" x14ac:dyDescent="0.2">
      <c r="B452" s="108">
        <f t="shared" si="73"/>
        <v>14394970</v>
      </c>
      <c r="C452" s="5">
        <v>413</v>
      </c>
      <c r="D452" s="109">
        <f t="shared" si="74"/>
        <v>0.40618131070427899</v>
      </c>
      <c r="E452" s="110">
        <f t="shared" si="75"/>
        <v>0.13538023085773618</v>
      </c>
      <c r="F452" s="110">
        <f t="shared" si="76"/>
        <v>0.103373143574239</v>
      </c>
      <c r="G452" s="110">
        <f t="shared" si="76"/>
        <v>1.9943502355580098E-2</v>
      </c>
      <c r="H452" s="110">
        <f t="shared" si="76"/>
        <v>8.1236262140855795E-5</v>
      </c>
      <c r="I452" s="110">
        <f t="shared" si="76"/>
        <v>0.10024554748181605</v>
      </c>
      <c r="J452" s="110">
        <f t="shared" si="76"/>
        <v>4.7157650172766789E-2</v>
      </c>
      <c r="K452" s="275">
        <f t="shared" si="77"/>
        <v>49039.674270833653</v>
      </c>
    </row>
    <row r="453" spans="2:11" x14ac:dyDescent="0.2">
      <c r="B453" s="108">
        <f t="shared" si="73"/>
        <v>14427660</v>
      </c>
      <c r="C453" s="5">
        <v>414</v>
      </c>
      <c r="D453" s="109">
        <f t="shared" si="74"/>
        <v>0.39944682457280201</v>
      </c>
      <c r="E453" s="110">
        <f t="shared" si="75"/>
        <v>0.13313562663011491</v>
      </c>
      <c r="F453" s="110">
        <f t="shared" si="76"/>
        <v>0.10165921685377811</v>
      </c>
      <c r="G453" s="110">
        <f t="shared" si="76"/>
        <v>1.9612839086524579E-2</v>
      </c>
      <c r="H453" s="110">
        <f t="shared" si="76"/>
        <v>7.9889364914560409E-5</v>
      </c>
      <c r="I453" s="110">
        <f t="shared" si="76"/>
        <v>9.8583476304567527E-2</v>
      </c>
      <c r="J453" s="110">
        <f t="shared" si="76"/>
        <v>4.637577633290231E-2</v>
      </c>
      <c r="K453" s="275">
        <f t="shared" si="77"/>
        <v>49051.024965278099</v>
      </c>
    </row>
    <row r="454" spans="2:11" x14ac:dyDescent="0.2">
      <c r="B454" s="108">
        <f t="shared" si="73"/>
        <v>14460350</v>
      </c>
      <c r="C454" s="5">
        <v>415</v>
      </c>
      <c r="D454" s="109">
        <f t="shared" si="74"/>
        <v>0.39282399622138492</v>
      </c>
      <c r="E454" s="110">
        <f t="shared" si="75"/>
        <v>0.13092823794058758</v>
      </c>
      <c r="F454" s="110">
        <f t="shared" si="76"/>
        <v>9.9973707038342463E-2</v>
      </c>
      <c r="G454" s="110">
        <f t="shared" si="76"/>
        <v>1.928765821447E-2</v>
      </c>
      <c r="H454" s="110">
        <f t="shared" si="76"/>
        <v>7.8564799244276991E-5</v>
      </c>
      <c r="I454" s="110">
        <f t="shared" si="76"/>
        <v>9.6948962267437794E-2</v>
      </c>
      <c r="J454" s="110">
        <f t="shared" si="76"/>
        <v>4.5606865961302784E-2</v>
      </c>
      <c r="K454" s="275">
        <f t="shared" si="77"/>
        <v>49062.375659722544</v>
      </c>
    </row>
    <row r="455" spans="2:11" x14ac:dyDescent="0.2">
      <c r="B455" s="108">
        <f t="shared" si="73"/>
        <v>14493040</v>
      </c>
      <c r="C455" s="5">
        <v>416</v>
      </c>
      <c r="D455" s="109">
        <f t="shared" si="74"/>
        <v>0.38631097436403433</v>
      </c>
      <c r="E455" s="110">
        <f t="shared" si="75"/>
        <v>0.12875744775553263</v>
      </c>
      <c r="F455" s="110">
        <f t="shared" si="76"/>
        <v>9.8316142975646739E-2</v>
      </c>
      <c r="G455" s="110">
        <f t="shared" si="76"/>
        <v>1.8967868841274084E-2</v>
      </c>
      <c r="H455" s="110">
        <f t="shared" si="76"/>
        <v>7.7262194872806876E-5</v>
      </c>
      <c r="I455" s="110">
        <f t="shared" si="76"/>
        <v>9.5341548473043672E-2</v>
      </c>
      <c r="J455" s="110">
        <f t="shared" si="76"/>
        <v>4.4850704123664382E-2</v>
      </c>
      <c r="K455" s="275">
        <f t="shared" si="77"/>
        <v>49073.726354166989</v>
      </c>
    </row>
    <row r="456" spans="2:11" x14ac:dyDescent="0.2">
      <c r="B456" s="108">
        <f t="shared" si="73"/>
        <v>14525730</v>
      </c>
      <c r="C456" s="5">
        <v>417</v>
      </c>
      <c r="D456" s="109">
        <f t="shared" si="74"/>
        <v>0.3799059384090786</v>
      </c>
      <c r="E456" s="110">
        <f t="shared" si="75"/>
        <v>0.12662264927174588</v>
      </c>
      <c r="F456" s="110">
        <f t="shared" si="76"/>
        <v>9.6686061325110512E-2</v>
      </c>
      <c r="G456" s="110">
        <f t="shared" si="76"/>
        <v>1.8653381575885759E-2</v>
      </c>
      <c r="H456" s="110">
        <f t="shared" si="76"/>
        <v>7.598118768181573E-5</v>
      </c>
      <c r="I456" s="110">
        <f t="shared" si="76"/>
        <v>9.3760785599360602E-2</v>
      </c>
      <c r="J456" s="110">
        <f t="shared" si="76"/>
        <v>4.4107079449294026E-2</v>
      </c>
      <c r="K456" s="275">
        <f t="shared" si="77"/>
        <v>49085.077048611434</v>
      </c>
    </row>
    <row r="457" spans="2:11" x14ac:dyDescent="0.2">
      <c r="B457" s="108">
        <f t="shared" si="73"/>
        <v>14558420</v>
      </c>
      <c r="C457" s="5">
        <v>418</v>
      </c>
      <c r="D457" s="109">
        <f t="shared" si="74"/>
        <v>0.37360709795025604</v>
      </c>
      <c r="E457" s="110">
        <f t="shared" si="75"/>
        <v>0.12452324574682033</v>
      </c>
      <c r="F457" s="110">
        <f t="shared" si="76"/>
        <v>9.5083006428340167E-2</v>
      </c>
      <c r="G457" s="110">
        <f t="shared" si="76"/>
        <v>1.8344108509357571E-2</v>
      </c>
      <c r="H457" s="110">
        <f t="shared" si="76"/>
        <v>7.4721419590051213E-5</v>
      </c>
      <c r="I457" s="110">
        <f t="shared" si="76"/>
        <v>9.2206231774123182E-2</v>
      </c>
      <c r="J457" s="110">
        <f t="shared" si="76"/>
        <v>4.3375784072024727E-2</v>
      </c>
      <c r="K457" s="275">
        <f t="shared" si="77"/>
        <v>49096.42774305588</v>
      </c>
    </row>
    <row r="458" spans="2:11" x14ac:dyDescent="0.2">
      <c r="B458" s="108">
        <f t="shared" si="73"/>
        <v>14591110</v>
      </c>
      <c r="C458" s="5">
        <v>419</v>
      </c>
      <c r="D458" s="109">
        <f t="shared" si="74"/>
        <v>0.36741269226624079</v>
      </c>
      <c r="E458" s="110">
        <f t="shared" si="75"/>
        <v>0.12245865033233805</v>
      </c>
      <c r="F458" s="110">
        <f t="shared" si="76"/>
        <v>9.3506530181758279E-2</v>
      </c>
      <c r="G458" s="110">
        <f t="shared" si="76"/>
        <v>1.8039963190272422E-2</v>
      </c>
      <c r="H458" s="110">
        <f t="shared" si="76"/>
        <v>7.3482538453248161E-5</v>
      </c>
      <c r="I458" s="110">
        <f t="shared" si="76"/>
        <v>9.0677452451308219E-2</v>
      </c>
      <c r="J458" s="110">
        <f t="shared" si="76"/>
        <v>4.2656613572110556E-2</v>
      </c>
      <c r="K458" s="275">
        <f t="shared" si="77"/>
        <v>49107.778437500325</v>
      </c>
    </row>
    <row r="459" spans="2:11" x14ac:dyDescent="0.2">
      <c r="B459" s="108">
        <f t="shared" si="73"/>
        <v>14623800</v>
      </c>
      <c r="C459" s="5">
        <v>420</v>
      </c>
      <c r="D459" s="109">
        <f t="shared" si="74"/>
        <v>0.3613209898284665</v>
      </c>
      <c r="E459" s="110">
        <f t="shared" si="75"/>
        <v>0.12042828590982788</v>
      </c>
      <c r="F459" s="110">
        <f t="shared" si="76"/>
        <v>9.1956191911344728E-2</v>
      </c>
      <c r="G459" s="110">
        <f t="shared" si="76"/>
        <v>1.7740860600577703E-2</v>
      </c>
      <c r="H459" s="110">
        <f t="shared" si="76"/>
        <v>7.2264197965693302E-5</v>
      </c>
      <c r="I459" s="110">
        <f t="shared" si="76"/>
        <v>8.9174020289665534E-2</v>
      </c>
      <c r="J459" s="110">
        <f t="shared" si="76"/>
        <v>4.1949366919084956E-2</v>
      </c>
      <c r="K459" s="275">
        <f t="shared" si="77"/>
        <v>49119.12913194477</v>
      </c>
    </row>
    <row r="460" spans="2:11" x14ac:dyDescent="0.2">
      <c r="B460" s="108">
        <f t="shared" si="73"/>
        <v>14656490</v>
      </c>
      <c r="C460" s="5">
        <v>421</v>
      </c>
      <c r="D460" s="109">
        <f t="shared" si="74"/>
        <v>0.35533028781711051</v>
      </c>
      <c r="E460" s="110">
        <f t="shared" si="75"/>
        <v>0.11843158492944293</v>
      </c>
      <c r="F460" s="110">
        <f t="shared" si="76"/>
        <v>9.0431558249454633E-2</v>
      </c>
      <c r="G460" s="110">
        <f t="shared" si="76"/>
        <v>1.7446717131820125E-2</v>
      </c>
      <c r="H460" s="110">
        <f t="shared" si="76"/>
        <v>7.1066057563422101E-5</v>
      </c>
      <c r="I460" s="110">
        <f t="shared" si="76"/>
        <v>8.7695515033262866E-2</v>
      </c>
      <c r="J460" s="110">
        <f t="shared" si="76"/>
        <v>4.1253846415566529E-2</v>
      </c>
      <c r="K460" s="275">
        <f t="shared" si="77"/>
        <v>49130.479826389215</v>
      </c>
    </row>
    <row r="461" spans="2:11" x14ac:dyDescent="0.2">
      <c r="B461" s="108">
        <f t="shared" si="73"/>
        <v>14689180</v>
      </c>
      <c r="C461" s="5">
        <v>422</v>
      </c>
      <c r="D461" s="109">
        <f t="shared" si="74"/>
        <v>0.34943891164510282</v>
      </c>
      <c r="E461" s="110">
        <f t="shared" si="75"/>
        <v>0.11646798925131277</v>
      </c>
      <c r="F461" s="110">
        <f t="shared" si="76"/>
        <v>8.8932203013678671E-2</v>
      </c>
      <c r="G461" s="110">
        <f t="shared" si="76"/>
        <v>1.7157450561774548E-2</v>
      </c>
      <c r="H461" s="110">
        <f t="shared" si="76"/>
        <v>6.9887782329020566E-5</v>
      </c>
      <c r="I461" s="110">
        <f t="shared" si="76"/>
        <v>8.624152339401138E-2</v>
      </c>
      <c r="J461" s="110">
        <f t="shared" si="76"/>
        <v>4.0569857641996436E-2</v>
      </c>
      <c r="K461" s="275">
        <f t="shared" si="77"/>
        <v>49141.830520833661</v>
      </c>
    </row>
    <row r="462" spans="2:11" x14ac:dyDescent="0.2">
      <c r="B462" s="108">
        <f t="shared" si="73"/>
        <v>14721870</v>
      </c>
      <c r="C462" s="5">
        <v>423</v>
      </c>
      <c r="D462" s="109">
        <f t="shared" si="74"/>
        <v>0.343645214490027</v>
      </c>
      <c r="E462" s="110">
        <f t="shared" si="75"/>
        <v>0.11453694998952599</v>
      </c>
      <c r="F462" s="110">
        <f t="shared" si="76"/>
        <v>8.7457707087711875E-2</v>
      </c>
      <c r="G462" s="110">
        <f t="shared" si="76"/>
        <v>1.6872980031460323E-2</v>
      </c>
      <c r="H462" s="110">
        <f t="shared" si="76"/>
        <v>6.8729042898005405E-5</v>
      </c>
      <c r="I462" s="110">
        <f t="shared" si="76"/>
        <v>8.4811638936138661E-2</v>
      </c>
      <c r="J462" s="110">
        <f t="shared" si="76"/>
        <v>3.9897209402292133E-2</v>
      </c>
      <c r="K462" s="275">
        <f t="shared" si="77"/>
        <v>49153.181215278106</v>
      </c>
    </row>
    <row r="463" spans="2:11" x14ac:dyDescent="0.2">
      <c r="B463" s="108">
        <f t="shared" si="73"/>
        <v>14754560</v>
      </c>
      <c r="C463" s="5">
        <v>424</v>
      </c>
      <c r="D463" s="109">
        <f t="shared" si="74"/>
        <v>0.33794757683378235</v>
      </c>
      <c r="E463" s="110">
        <f t="shared" si="75"/>
        <v>0.11263792735869965</v>
      </c>
      <c r="F463" s="110">
        <f t="shared" si="76"/>
        <v>8.6007658304197612E-2</v>
      </c>
      <c r="G463" s="110">
        <f t="shared" si="76"/>
        <v>1.6593226022538713E-2</v>
      </c>
      <c r="H463" s="110">
        <f t="shared" si="76"/>
        <v>6.7589515366756479E-5</v>
      </c>
      <c r="I463" s="110">
        <f t="shared" si="76"/>
        <v>8.3405461962577476E-2</v>
      </c>
      <c r="J463" s="110">
        <f t="shared" si="76"/>
        <v>3.9235713670402128E-2</v>
      </c>
      <c r="K463" s="275">
        <f t="shared" si="77"/>
        <v>49164.531909722551</v>
      </c>
    </row>
    <row r="464" spans="2:11" x14ac:dyDescent="0.2">
      <c r="B464" s="108">
        <f t="shared" si="73"/>
        <v>14787250</v>
      </c>
      <c r="C464" s="5">
        <v>425</v>
      </c>
      <c r="D464" s="109">
        <f t="shared" si="74"/>
        <v>0.33234440600987825</v>
      </c>
      <c r="E464" s="110">
        <f t="shared" si="75"/>
        <v>0.11077039052309241</v>
      </c>
      <c r="F464" s="110">
        <f t="shared" si="76"/>
        <v>8.4581651329514021E-2</v>
      </c>
      <c r="G464" s="110">
        <f t="shared" si="76"/>
        <v>1.6318110335085022E-2</v>
      </c>
      <c r="H464" s="110">
        <f t="shared" si="76"/>
        <v>6.6468881201975648E-5</v>
      </c>
      <c r="I464" s="110">
        <f t="shared" si="76"/>
        <v>8.2022599403237945E-2</v>
      </c>
      <c r="J464" s="110">
        <f t="shared" si="76"/>
        <v>3.8585185537746862E-2</v>
      </c>
      <c r="K464" s="275">
        <f t="shared" si="77"/>
        <v>49175.882604166996</v>
      </c>
    </row>
    <row r="465" spans="2:11" x14ac:dyDescent="0.2">
      <c r="B465" s="108">
        <f t="shared" si="73"/>
        <v>14819940</v>
      </c>
      <c r="C465" s="5">
        <v>426</v>
      </c>
      <c r="D465" s="109">
        <f t="shared" si="74"/>
        <v>0.32683413575823445</v>
      </c>
      <c r="E465" s="110">
        <f t="shared" si="75"/>
        <v>0.10893381744821953</v>
      </c>
      <c r="F465" s="110">
        <f t="shared" si="76"/>
        <v>8.3179287550470674E-2</v>
      </c>
      <c r="G465" s="110">
        <f t="shared" si="76"/>
        <v>1.6047556065729312E-2</v>
      </c>
      <c r="H465" s="110">
        <f t="shared" si="76"/>
        <v>6.5366827151646897E-5</v>
      </c>
      <c r="I465" s="110">
        <f t="shared" si="76"/>
        <v>8.0662664705132253E-2</v>
      </c>
      <c r="J465" s="110">
        <f t="shared" si="76"/>
        <v>3.794544316153102E-2</v>
      </c>
      <c r="K465" s="275">
        <f t="shared" si="77"/>
        <v>49187.233298611442</v>
      </c>
    </row>
    <row r="466" spans="2:11" x14ac:dyDescent="0.2">
      <c r="B466" s="108">
        <f t="shared" si="73"/>
        <v>14852630</v>
      </c>
      <c r="C466" s="5">
        <v>427</v>
      </c>
      <c r="D466" s="109">
        <f t="shared" si="74"/>
        <v>0.32141522578736292</v>
      </c>
      <c r="E466" s="110">
        <f t="shared" si="75"/>
        <v>0.10712769475492806</v>
      </c>
      <c r="F466" s="110">
        <f t="shared" si="76"/>
        <v>8.1800174962883859E-2</v>
      </c>
      <c r="G466" s="110">
        <f t="shared" si="76"/>
        <v>1.5781487586159521E-2</v>
      </c>
      <c r="H466" s="110">
        <f t="shared" si="76"/>
        <v>6.4283045157472591E-5</v>
      </c>
      <c r="I466" s="110">
        <f t="shared" si="76"/>
        <v>7.9325277724321172E-2</v>
      </c>
      <c r="J466" s="110">
        <f t="shared" si="76"/>
        <v>3.7316307713912832E-2</v>
      </c>
      <c r="K466" s="275">
        <f t="shared" si="77"/>
        <v>49198.583993055887</v>
      </c>
    </row>
    <row r="467" spans="2:11" x14ac:dyDescent="0.2">
      <c r="B467" s="108">
        <f t="shared" si="73"/>
        <v>14885320</v>
      </c>
      <c r="C467" s="5">
        <v>428</v>
      </c>
      <c r="D467" s="109">
        <f t="shared" si="74"/>
        <v>0.31608616134380846</v>
      </c>
      <c r="E467" s="110">
        <f t="shared" si="75"/>
        <v>0.10535151757589135</v>
      </c>
      <c r="F467" s="110">
        <f t="shared" si="76"/>
        <v>8.0443928061999251E-2</v>
      </c>
      <c r="G467" s="110">
        <f t="shared" si="76"/>
        <v>1.5519830521980995E-2</v>
      </c>
      <c r="H467" s="110">
        <f t="shared" si="76"/>
        <v>6.3217232268761693E-5</v>
      </c>
      <c r="I467" s="110">
        <f t="shared" si="76"/>
        <v>7.8010064619651931E-2</v>
      </c>
      <c r="J467" s="110">
        <f t="shared" si="76"/>
        <v>3.669760333201616E-2</v>
      </c>
      <c r="K467" s="275">
        <f t="shared" si="77"/>
        <v>49209.934687500332</v>
      </c>
    </row>
    <row r="468" spans="2:11" x14ac:dyDescent="0.2">
      <c r="B468" s="108">
        <f t="shared" si="73"/>
        <v>14918010</v>
      </c>
      <c r="C468" s="5">
        <v>429</v>
      </c>
      <c r="D468" s="109">
        <f t="shared" si="74"/>
        <v>0.3108454527887281</v>
      </c>
      <c r="E468" s="110">
        <f t="shared" si="75"/>
        <v>0.10360478941448308</v>
      </c>
      <c r="F468" s="110">
        <f t="shared" si="76"/>
        <v>7.9110167734731299E-2</v>
      </c>
      <c r="G468" s="110">
        <f t="shared" si="76"/>
        <v>1.526251173192655E-2</v>
      </c>
      <c r="H468" s="110">
        <f t="shared" si="76"/>
        <v>6.2169090557745622E-5</v>
      </c>
      <c r="I468" s="110">
        <f t="shared" si="76"/>
        <v>7.6716657748258088E-2</v>
      </c>
      <c r="J468" s="110">
        <f t="shared" si="76"/>
        <v>3.6089157068771333E-2</v>
      </c>
      <c r="K468" s="275">
        <f t="shared" si="77"/>
        <v>49221.285381944777</v>
      </c>
    </row>
    <row r="469" spans="2:11" x14ac:dyDescent="0.2">
      <c r="B469" s="108">
        <f t="shared" si="73"/>
        <v>14950700</v>
      </c>
      <c r="C469" s="5">
        <v>430</v>
      </c>
      <c r="D469" s="109">
        <f t="shared" si="74"/>
        <v>0.30569163518149101</v>
      </c>
      <c r="E469" s="110">
        <f t="shared" si="75"/>
        <v>0.10188702200599095</v>
      </c>
      <c r="F469" s="110">
        <f t="shared" si="76"/>
        <v>7.7798521153689459E-2</v>
      </c>
      <c r="G469" s="110">
        <f t="shared" si="76"/>
        <v>1.5009459287411207E-2</v>
      </c>
      <c r="H469" s="110">
        <f t="shared" si="76"/>
        <v>6.1138327036298199E-5</v>
      </c>
      <c r="I469" s="110">
        <f t="shared" si="76"/>
        <v>7.5444695562791972E-2</v>
      </c>
      <c r="J469" s="110">
        <f t="shared" si="76"/>
        <v>3.5490798844571105E-2</v>
      </c>
      <c r="K469" s="275">
        <f t="shared" si="77"/>
        <v>49232.636076389223</v>
      </c>
    </row>
    <row r="470" spans="2:11" x14ac:dyDescent="0.2">
      <c r="B470" s="108">
        <f t="shared" si="73"/>
        <v>14983390</v>
      </c>
      <c r="C470" s="5">
        <v>431</v>
      </c>
      <c r="D470" s="109">
        <f t="shared" si="74"/>
        <v>0.3006232678701819</v>
      </c>
      <c r="E470" s="110">
        <f t="shared" si="75"/>
        <v>0.10019773518113162</v>
      </c>
      <c r="F470" s="110">
        <f t="shared" si="76"/>
        <v>7.6508621672961297E-2</v>
      </c>
      <c r="G470" s="110">
        <f t="shared" si="76"/>
        <v>1.4760602452425931E-2</v>
      </c>
      <c r="H470" s="110">
        <f t="shared" si="76"/>
        <v>6.0124653574036385E-5</v>
      </c>
      <c r="I470" s="110">
        <f t="shared" si="76"/>
        <v>7.4193822510360885E-2</v>
      </c>
      <c r="J470" s="110">
        <f t="shared" si="76"/>
        <v>3.4902361399728118E-2</v>
      </c>
      <c r="K470" s="275">
        <f t="shared" si="77"/>
        <v>49243.986770833668</v>
      </c>
    </row>
    <row r="471" spans="2:11" x14ac:dyDescent="0.2">
      <c r="B471" s="108">
        <f t="shared" si="73"/>
        <v>15016080</v>
      </c>
      <c r="C471" s="5">
        <v>432</v>
      </c>
      <c r="D471" s="109">
        <f t="shared" si="74"/>
        <v>0.29563893408889425</v>
      </c>
      <c r="E471" s="110">
        <f t="shared" si="75"/>
        <v>9.8536456731828453E-2</v>
      </c>
      <c r="F471" s="110">
        <f t="shared" si="76"/>
        <v>7.5240108725623589E-2</v>
      </c>
      <c r="G471" s="110">
        <f t="shared" si="76"/>
        <v>1.4515871663764706E-2</v>
      </c>
      <c r="H471" s="110">
        <f t="shared" si="76"/>
        <v>5.912778681777885E-5</v>
      </c>
      <c r="I471" s="110">
        <f t="shared" si="76"/>
        <v>7.2963688933139093E-2</v>
      </c>
      <c r="J471" s="110">
        <f t="shared" si="76"/>
        <v>3.4323680247720617E-2</v>
      </c>
      <c r="K471" s="275">
        <f t="shared" si="77"/>
        <v>49255.337465278113</v>
      </c>
    </row>
    <row r="472" spans="2:11" x14ac:dyDescent="0.2">
      <c r="B472" s="108">
        <f t="shared" si="73"/>
        <v>15048770</v>
      </c>
      <c r="C472" s="5">
        <v>433</v>
      </c>
      <c r="D472" s="109">
        <f t="shared" si="74"/>
        <v>0.29073724056170036</v>
      </c>
      <c r="E472" s="110">
        <f t="shared" si="75"/>
        <v>9.6902722279214731E-2</v>
      </c>
      <c r="F472" s="110">
        <f t="shared" si="76"/>
        <v>7.3992627722952745E-2</v>
      </c>
      <c r="G472" s="110">
        <f t="shared" si="76"/>
        <v>1.4275198511579486E-2</v>
      </c>
      <c r="H472" s="110">
        <f t="shared" si="76"/>
        <v>5.8147448112340072E-5</v>
      </c>
      <c r="I472" s="110">
        <f t="shared" si="76"/>
        <v>7.1753950970627645E-2</v>
      </c>
      <c r="J472" s="110">
        <f t="shared" si="76"/>
        <v>3.375459362921341E-2</v>
      </c>
      <c r="K472" s="275">
        <f t="shared" si="77"/>
        <v>49266.688159722558</v>
      </c>
    </row>
    <row r="473" spans="2:11" x14ac:dyDescent="0.2">
      <c r="B473" s="108">
        <f t="shared" si="73"/>
        <v>15081460</v>
      </c>
      <c r="C473" s="5">
        <v>434</v>
      </c>
      <c r="D473" s="109">
        <f t="shared" si="74"/>
        <v>0.28591681711318734</v>
      </c>
      <c r="E473" s="110">
        <f t="shared" si="75"/>
        <v>9.5296075143825335E-2</v>
      </c>
      <c r="F473" s="110">
        <f t="shared" si="76"/>
        <v>7.2765829955306185E-2</v>
      </c>
      <c r="G473" s="110">
        <f t="shared" si="76"/>
        <v>1.4038515720257497E-2</v>
      </c>
      <c r="H473" s="110">
        <f t="shared" si="76"/>
        <v>5.7183363422637468E-5</v>
      </c>
      <c r="I473" s="110">
        <f t="shared" si="76"/>
        <v>7.0564270463534626E-2</v>
      </c>
      <c r="J473" s="110">
        <f t="shared" si="76"/>
        <v>3.319494246684105E-2</v>
      </c>
      <c r="K473" s="275">
        <f t="shared" si="77"/>
        <v>49278.038854167004</v>
      </c>
    </row>
    <row r="474" spans="2:11" x14ac:dyDescent="0.2">
      <c r="B474" s="108">
        <f t="shared" si="73"/>
        <v>15114150</v>
      </c>
      <c r="C474" s="5">
        <v>435</v>
      </c>
      <c r="D474" s="109">
        <f t="shared" si="74"/>
        <v>0.2811763162854507</v>
      </c>
      <c r="E474" s="110">
        <f t="shared" si="75"/>
        <v>9.3716066217940708E-2</v>
      </c>
      <c r="F474" s="110">
        <f t="shared" si="76"/>
        <v>7.1559372494647208E-2</v>
      </c>
      <c r="G474" s="110">
        <f t="shared" si="76"/>
        <v>1.3805757129615629E-2</v>
      </c>
      <c r="H474" s="110">
        <f t="shared" si="76"/>
        <v>5.6235263257090145E-5</v>
      </c>
      <c r="I474" s="110">
        <f t="shared" si="76"/>
        <v>6.9394314859249226E-2</v>
      </c>
      <c r="J474" s="110">
        <f t="shared" si="76"/>
        <v>3.2644570320740827E-2</v>
      </c>
      <c r="K474" s="275">
        <f t="shared" si="77"/>
        <v>49289.389548611449</v>
      </c>
    </row>
    <row r="475" spans="2:11" x14ac:dyDescent="0.2">
      <c r="B475" s="108">
        <f t="shared" si="73"/>
        <v>15146840</v>
      </c>
      <c r="C475" s="5">
        <v>436</v>
      </c>
      <c r="D475" s="109">
        <f t="shared" si="74"/>
        <v>0.27651441296143792</v>
      </c>
      <c r="E475" s="110">
        <f t="shared" si="75"/>
        <v>9.2162253840047254E-2</v>
      </c>
      <c r="F475" s="110">
        <f t="shared" si="76"/>
        <v>7.0372918098685955E-2</v>
      </c>
      <c r="G475" s="110">
        <f t="shared" si="76"/>
        <v>1.35768576764066E-2</v>
      </c>
      <c r="H475" s="110">
        <f t="shared" si="76"/>
        <v>5.5302882592287585E-5</v>
      </c>
      <c r="I475" s="110">
        <f t="shared" si="76"/>
        <v>6.8243757118882878E-2</v>
      </c>
      <c r="J475" s="110">
        <f t="shared" si="76"/>
        <v>3.2103323344822944E-2</v>
      </c>
      <c r="K475" s="275">
        <f t="shared" si="77"/>
        <v>49300.740243055894</v>
      </c>
    </row>
    <row r="476" spans="2:11" x14ac:dyDescent="0.2">
      <c r="B476" s="108">
        <f t="shared" si="73"/>
        <v>15179530</v>
      </c>
      <c r="C476" s="5">
        <v>437</v>
      </c>
      <c r="D476" s="109">
        <f t="shared" si="74"/>
        <v>0.27192980399453726</v>
      </c>
      <c r="E476" s="110">
        <f t="shared" si="75"/>
        <v>9.0634203671379268E-2</v>
      </c>
      <c r="F476" s="110">
        <f t="shared" si="76"/>
        <v>6.9206135116609738E-2</v>
      </c>
      <c r="G476" s="110">
        <f t="shared" si="76"/>
        <v>1.3351753376131779E-2</v>
      </c>
      <c r="H476" s="110">
        <f t="shared" si="76"/>
        <v>5.4385960798907457E-5</v>
      </c>
      <c r="I476" s="110">
        <f t="shared" si="76"/>
        <v>6.7112275625851786E-2</v>
      </c>
      <c r="J476" s="110">
        <f t="shared" si="76"/>
        <v>3.1571050243765775E-2</v>
      </c>
      <c r="K476" s="275">
        <f t="shared" si="77"/>
        <v>49312.090937500339</v>
      </c>
    </row>
    <row r="477" spans="2:11" x14ac:dyDescent="0.2">
      <c r="B477" s="108">
        <f t="shared" si="73"/>
        <v>15212220</v>
      </c>
      <c r="C477" s="5">
        <v>438</v>
      </c>
      <c r="D477" s="109">
        <f t="shared" si="74"/>
        <v>0.26742120784430784</v>
      </c>
      <c r="E477" s="110">
        <f t="shared" si="75"/>
        <v>8.9131488574507797E-2</v>
      </c>
      <c r="F477" s="110">
        <f t="shared" si="76"/>
        <v>6.805869739637635E-2</v>
      </c>
      <c r="G477" s="110">
        <f t="shared" si="76"/>
        <v>1.3130381305155514E-2</v>
      </c>
      <c r="H477" s="110">
        <f t="shared" si="76"/>
        <v>5.3484241568861572E-5</v>
      </c>
      <c r="I477" s="110">
        <f t="shared" si="76"/>
        <v>6.5999554095975174E-2</v>
      </c>
      <c r="J477" s="110">
        <f t="shared" si="76"/>
        <v>3.1047602230724138E-2</v>
      </c>
      <c r="K477" s="275">
        <f t="shared" si="77"/>
        <v>49323.441631944785</v>
      </c>
    </row>
    <row r="478" spans="2:11" x14ac:dyDescent="0.2">
      <c r="B478" s="108">
        <f t="shared" si="73"/>
        <v>15244910</v>
      </c>
      <c r="C478" s="5">
        <v>439</v>
      </c>
      <c r="D478" s="109">
        <f t="shared" si="74"/>
        <v>0.2629873642182492</v>
      </c>
      <c r="E478" s="110">
        <f t="shared" si="75"/>
        <v>8.765368849394245E-2</v>
      </c>
      <c r="F478" s="110">
        <f t="shared" si="76"/>
        <v>6.6930284193544423E-2</v>
      </c>
      <c r="G478" s="110">
        <f t="shared" si="76"/>
        <v>1.2912679583116034E-2</v>
      </c>
      <c r="H478" s="110">
        <f t="shared" si="76"/>
        <v>5.2597472843649839E-5</v>
      </c>
      <c r="I478" s="110">
        <f t="shared" si="76"/>
        <v>6.4905281489063896E-2</v>
      </c>
      <c r="J478" s="110">
        <f t="shared" si="76"/>
        <v>3.053283298573873E-2</v>
      </c>
      <c r="K478" s="275">
        <f t="shared" si="77"/>
        <v>49334.79232638923</v>
      </c>
    </row>
    <row r="479" spans="2:11" x14ac:dyDescent="0.2">
      <c r="B479" s="108">
        <f t="shared" si="73"/>
        <v>15277600</v>
      </c>
      <c r="C479" s="5">
        <v>440</v>
      </c>
      <c r="D479" s="109">
        <f t="shared" si="74"/>
        <v>0.25862703371951062</v>
      </c>
      <c r="E479" s="110">
        <f t="shared" si="75"/>
        <v>8.6200390338712893E-2</v>
      </c>
      <c r="F479" s="110">
        <f t="shared" si="76"/>
        <v>6.5820580081615454E-2</v>
      </c>
      <c r="G479" s="110">
        <f t="shared" si="76"/>
        <v>1.2698587355627971E-2</v>
      </c>
      <c r="H479" s="110">
        <f t="shared" si="76"/>
        <v>5.1725406743902126E-5</v>
      </c>
      <c r="I479" s="110">
        <f t="shared" si="76"/>
        <v>6.3829151921975219E-2</v>
      </c>
      <c r="J479" s="110">
        <f t="shared" si="76"/>
        <v>3.0026598614835181E-2</v>
      </c>
      <c r="K479" s="275">
        <f t="shared" si="77"/>
        <v>49346.143020833675</v>
      </c>
    </row>
    <row r="480" spans="2:11" x14ac:dyDescent="0.2">
      <c r="B480" s="108">
        <f t="shared" si="73"/>
        <v>15310290</v>
      </c>
      <c r="C480" s="5">
        <v>441</v>
      </c>
      <c r="D480" s="109">
        <f t="shared" si="74"/>
        <v>0.25433899750044114</v>
      </c>
      <c r="E480" s="110">
        <f t="shared" si="75"/>
        <v>8.4771187866897024E-2</v>
      </c>
      <c r="F480" s="110">
        <f t="shared" si="76"/>
        <v>6.4729274863862277E-2</v>
      </c>
      <c r="G480" s="110">
        <f t="shared" si="76"/>
        <v>1.248804477727166E-2</v>
      </c>
      <c r="H480" s="110">
        <f t="shared" si="76"/>
        <v>5.086779950008823E-5</v>
      </c>
      <c r="I480" s="110">
        <f t="shared" si="76"/>
        <v>6.2770864583108876E-2</v>
      </c>
      <c r="J480" s="110">
        <f t="shared" si="76"/>
        <v>2.9528757609801216E-2</v>
      </c>
      <c r="K480" s="275">
        <f t="shared" si="77"/>
        <v>49357.49371527812</v>
      </c>
    </row>
    <row r="481" spans="2:11" x14ac:dyDescent="0.2">
      <c r="B481" s="108">
        <f t="shared" si="73"/>
        <v>15342980</v>
      </c>
      <c r="C481" s="5">
        <v>442</v>
      </c>
      <c r="D481" s="109">
        <f t="shared" si="74"/>
        <v>0.25012205692188383</v>
      </c>
      <c r="E481" s="110">
        <f t="shared" si="75"/>
        <v>8.3365681572063879E-2</v>
      </c>
      <c r="F481" s="110">
        <f t="shared" si="76"/>
        <v>6.3656063486619438E-2</v>
      </c>
      <c r="G481" s="110">
        <f t="shared" si="76"/>
        <v>1.2280992994864496E-2</v>
      </c>
      <c r="H481" s="110">
        <f t="shared" si="76"/>
        <v>5.0024411384376767E-5</v>
      </c>
      <c r="I481" s="110">
        <f t="shared" si="76"/>
        <v>6.173012364832093E-2</v>
      </c>
      <c r="J481" s="110">
        <f t="shared" si="76"/>
        <v>2.9039170808630711E-2</v>
      </c>
      <c r="K481" s="275">
        <f t="shared" si="77"/>
        <v>49368.844409722566</v>
      </c>
    </row>
    <row r="482" spans="2:11" x14ac:dyDescent="0.2">
      <c r="B482" s="108">
        <f t="shared" si="73"/>
        <v>15375670</v>
      </c>
      <c r="C482" s="5">
        <v>443</v>
      </c>
      <c r="D482" s="109">
        <f t="shared" si="74"/>
        <v>0.24597503321811898</v>
      </c>
      <c r="E482" s="110">
        <f t="shared" si="75"/>
        <v>8.1983478571599058E-2</v>
      </c>
      <c r="F482" s="110">
        <f t="shared" si="76"/>
        <v>6.2600645954011283E-2</v>
      </c>
      <c r="G482" s="110">
        <f t="shared" si="76"/>
        <v>1.2077374131009641E-2</v>
      </c>
      <c r="H482" s="110">
        <f t="shared" si="76"/>
        <v>4.9195006643623794E-5</v>
      </c>
      <c r="I482" s="110">
        <f t="shared" si="76"/>
        <v>6.0706638198231765E-2</v>
      </c>
      <c r="J482" s="110">
        <f t="shared" si="76"/>
        <v>2.855770135662361E-2</v>
      </c>
      <c r="K482" s="275">
        <f t="shared" si="77"/>
        <v>49380.195104167011</v>
      </c>
    </row>
    <row r="483" spans="2:11" x14ac:dyDescent="0.2">
      <c r="B483" s="108">
        <f t="shared" si="73"/>
        <v>15408360</v>
      </c>
      <c r="C483" s="5">
        <v>444</v>
      </c>
      <c r="D483" s="109">
        <f t="shared" si="74"/>
        <v>0.24189676716736255</v>
      </c>
      <c r="E483" s="110">
        <f t="shared" si="75"/>
        <v>8.0624192496881936E-2</v>
      </c>
      <c r="F483" s="110">
        <f t="shared" si="76"/>
        <v>6.1562727244093771E-2</v>
      </c>
      <c r="G483" s="110">
        <f t="shared" si="76"/>
        <v>1.1877131267917502E-2</v>
      </c>
      <c r="H483" s="110">
        <f t="shared" si="76"/>
        <v>4.837935343347251E-5</v>
      </c>
      <c r="I483" s="110">
        <f t="shared" si="76"/>
        <v>5.9700122136905079E-2</v>
      </c>
      <c r="J483" s="110">
        <f t="shared" si="76"/>
        <v>2.808421466813079E-2</v>
      </c>
      <c r="K483" s="275">
        <f t="shared" si="77"/>
        <v>49391.545798611456</v>
      </c>
    </row>
    <row r="484" spans="2:11" x14ac:dyDescent="0.2">
      <c r="B484" s="108">
        <f t="shared" si="73"/>
        <v>15441050</v>
      </c>
      <c r="C484" s="5">
        <v>445</v>
      </c>
      <c r="D484" s="109">
        <f t="shared" si="74"/>
        <v>0.23788611876772767</v>
      </c>
      <c r="E484" s="110">
        <f t="shared" si="75"/>
        <v>7.9287443385283624E-2</v>
      </c>
      <c r="F484" s="110">
        <f t="shared" si="76"/>
        <v>6.0542017226386691E-2</v>
      </c>
      <c r="G484" s="110">
        <f t="shared" si="76"/>
        <v>1.1680208431495427E-2</v>
      </c>
      <c r="H484" s="110">
        <f t="shared" si="76"/>
        <v>4.7577223753545533E-5</v>
      </c>
      <c r="I484" s="110">
        <f t="shared" si="76"/>
        <v>5.8710294111875186E-2</v>
      </c>
      <c r="J484" s="110">
        <f t="shared" si="76"/>
        <v>2.7618578388933182E-2</v>
      </c>
      <c r="K484" s="275">
        <f t="shared" si="77"/>
        <v>49402.896493055901</v>
      </c>
    </row>
    <row r="485" spans="2:11" x14ac:dyDescent="0.2">
      <c r="B485" s="108">
        <f t="shared" si="73"/>
        <v>15473740</v>
      </c>
      <c r="C485" s="5">
        <v>446</v>
      </c>
      <c r="D485" s="109">
        <f t="shared" si="74"/>
        <v>0.23394196691855873</v>
      </c>
      <c r="E485" s="110">
        <f t="shared" si="75"/>
        <v>7.7972857573955626E-2</v>
      </c>
      <c r="F485" s="110">
        <f t="shared" ref="F485:J528" si="78">$D485*F$37</f>
        <v>5.9538230580773198E-2</v>
      </c>
      <c r="G485" s="110">
        <f t="shared" si="78"/>
        <v>1.1486550575701233E-2</v>
      </c>
      <c r="H485" s="110">
        <f t="shared" si="78"/>
        <v>4.6788393383711748E-5</v>
      </c>
      <c r="I485" s="110">
        <f t="shared" si="78"/>
        <v>5.7736877435500294E-2</v>
      </c>
      <c r="J485" s="110">
        <f t="shared" si="78"/>
        <v>2.7160662359244667E-2</v>
      </c>
      <c r="K485" s="275">
        <f t="shared" si="77"/>
        <v>49414.247187500347</v>
      </c>
    </row>
    <row r="486" spans="2:11" x14ac:dyDescent="0.2">
      <c r="B486" s="108">
        <f t="shared" si="73"/>
        <v>15506430</v>
      </c>
      <c r="C486" s="5">
        <v>447</v>
      </c>
      <c r="D486" s="109">
        <f t="shared" si="74"/>
        <v>0.23006320910704903</v>
      </c>
      <c r="E486" s="110">
        <f t="shared" si="75"/>
        <v>7.6680067595379431E-2</v>
      </c>
      <c r="F486" s="110">
        <f t="shared" si="78"/>
        <v>5.8551086717743978E-2</v>
      </c>
      <c r="G486" s="110">
        <f t="shared" si="78"/>
        <v>1.1296103567156107E-2</v>
      </c>
      <c r="H486" s="110">
        <f t="shared" si="78"/>
        <v>4.6012641821409807E-5</v>
      </c>
      <c r="I486" s="110">
        <f t="shared" si="78"/>
        <v>5.6779600007619696E-2</v>
      </c>
      <c r="J486" s="110">
        <f t="shared" si="78"/>
        <v>2.671033857732839E-2</v>
      </c>
      <c r="K486" s="275">
        <f t="shared" si="77"/>
        <v>49425.597881944792</v>
      </c>
    </row>
    <row r="487" spans="2:11" x14ac:dyDescent="0.2">
      <c r="B487" s="108">
        <f t="shared" si="73"/>
        <v>15539120</v>
      </c>
      <c r="C487" s="5">
        <v>448</v>
      </c>
      <c r="D487" s="109">
        <f t="shared" si="74"/>
        <v>0.22624876110005415</v>
      </c>
      <c r="E487" s="110">
        <f t="shared" si="75"/>
        <v>7.540871207464804E-2</v>
      </c>
      <c r="F487" s="110">
        <f t="shared" si="78"/>
        <v>5.7580309699963785E-2</v>
      </c>
      <c r="G487" s="110">
        <f t="shared" si="78"/>
        <v>1.1108814170012658E-2</v>
      </c>
      <c r="H487" s="110">
        <f t="shared" si="78"/>
        <v>4.5249752220010835E-5</v>
      </c>
      <c r="I487" s="110">
        <f t="shared" si="78"/>
        <v>5.5838194239493363E-2</v>
      </c>
      <c r="J487" s="110">
        <f t="shared" si="78"/>
        <v>2.6267481163716286E-2</v>
      </c>
      <c r="K487" s="275">
        <f t="shared" si="77"/>
        <v>49436.948576389237</v>
      </c>
    </row>
    <row r="488" spans="2:11" x14ac:dyDescent="0.2">
      <c r="B488" s="108">
        <f t="shared" ref="B488:B528" si="79">B487+$B$22</f>
        <v>15571810</v>
      </c>
      <c r="C488" s="5">
        <v>449</v>
      </c>
      <c r="D488" s="109">
        <f t="shared" ref="D488:D528" si="80">D487*(1-$C$22)</f>
        <v>0.22249755664101525</v>
      </c>
      <c r="E488" s="110">
        <f t="shared" si="75"/>
        <v>7.4158435628450384E-2</v>
      </c>
      <c r="F488" s="110">
        <f t="shared" si="78"/>
        <v>5.6625628165138386E-2</v>
      </c>
      <c r="G488" s="110">
        <f t="shared" si="78"/>
        <v>1.0924630031073848E-2</v>
      </c>
      <c r="H488" s="110">
        <f t="shared" si="78"/>
        <v>4.4499511328203054E-5</v>
      </c>
      <c r="I488" s="110">
        <f t="shared" si="78"/>
        <v>5.4912396979002562E-2</v>
      </c>
      <c r="J488" s="110">
        <f t="shared" si="78"/>
        <v>2.5831966326021871E-2</v>
      </c>
      <c r="K488" s="275">
        <f t="shared" si="77"/>
        <v>49448.299270833682</v>
      </c>
    </row>
    <row r="489" spans="2:11" x14ac:dyDescent="0.2">
      <c r="B489" s="108">
        <f t="shared" si="79"/>
        <v>15604500</v>
      </c>
      <c r="C489" s="5">
        <v>450</v>
      </c>
      <c r="D489" s="109">
        <f t="shared" si="80"/>
        <v>0.2188085471519072</v>
      </c>
      <c r="E489" s="110">
        <f t="shared" si="75"/>
        <v>7.2928888765730671E-2</v>
      </c>
      <c r="F489" s="110">
        <f t="shared" si="78"/>
        <v>5.5686775250160386E-2</v>
      </c>
      <c r="G489" s="110">
        <f t="shared" si="78"/>
        <v>1.0743499665158644E-2</v>
      </c>
      <c r="H489" s="110">
        <f t="shared" si="78"/>
        <v>4.3761709430381441E-5</v>
      </c>
      <c r="I489" s="110">
        <f t="shared" si="78"/>
        <v>5.4001949437090697E-2</v>
      </c>
      <c r="J489" s="110">
        <f t="shared" si="78"/>
        <v>2.5403672324336424E-2</v>
      </c>
      <c r="K489" s="275">
        <f t="shared" si="77"/>
        <v>49459.649965278128</v>
      </c>
    </row>
    <row r="490" spans="2:11" x14ac:dyDescent="0.2">
      <c r="B490" s="108">
        <f t="shared" si="79"/>
        <v>15637190</v>
      </c>
      <c r="C490" s="5">
        <v>451</v>
      </c>
      <c r="D490" s="109">
        <f t="shared" si="80"/>
        <v>0.21518070144012857</v>
      </c>
      <c r="E490" s="110">
        <f t="shared" si="75"/>
        <v>7.1719727789994844E-2</v>
      </c>
      <c r="F490" s="110">
        <f t="shared" si="78"/>
        <v>5.4763488516512721E-2</v>
      </c>
      <c r="G490" s="110">
        <f t="shared" si="78"/>
        <v>1.0565372440710312E-2</v>
      </c>
      <c r="H490" s="110">
        <f t="shared" si="78"/>
        <v>4.3036140288025716E-5</v>
      </c>
      <c r="I490" s="110">
        <f t="shared" si="78"/>
        <v>5.3106597115423732E-2</v>
      </c>
      <c r="J490" s="110">
        <f t="shared" si="78"/>
        <v>2.4982479437198925E-2</v>
      </c>
      <c r="K490" s="275">
        <f t="shared" si="77"/>
        <v>49471.000659722573</v>
      </c>
    </row>
    <row r="491" spans="2:11" x14ac:dyDescent="0.2">
      <c r="B491" s="108">
        <f t="shared" si="79"/>
        <v>15669880</v>
      </c>
      <c r="C491" s="5">
        <v>452</v>
      </c>
      <c r="D491" s="109">
        <f t="shared" si="80"/>
        <v>0.21161300541025124</v>
      </c>
      <c r="E491" s="110">
        <f t="shared" si="75"/>
        <v>7.0530614703236738E-2</v>
      </c>
      <c r="F491" s="110">
        <f t="shared" si="78"/>
        <v>5.3855509876908944E-2</v>
      </c>
      <c r="G491" s="110">
        <f t="shared" si="78"/>
        <v>1.0390198565643336E-2</v>
      </c>
      <c r="H491" s="110">
        <f t="shared" si="78"/>
        <v>4.2322601082050248E-5</v>
      </c>
      <c r="I491" s="110">
        <f t="shared" si="78"/>
        <v>5.2226089735250003E-2</v>
      </c>
      <c r="J491" s="110">
        <f t="shared" si="78"/>
        <v>2.4568269928130167E-2</v>
      </c>
      <c r="K491" s="275">
        <f t="shared" si="77"/>
        <v>49482.351354167018</v>
      </c>
    </row>
    <row r="492" spans="2:11" x14ac:dyDescent="0.2">
      <c r="B492" s="108">
        <f t="shared" si="79"/>
        <v>15702570</v>
      </c>
      <c r="C492" s="5">
        <v>453</v>
      </c>
      <c r="D492" s="109">
        <f t="shared" si="80"/>
        <v>0.20810446178054928</v>
      </c>
      <c r="E492" s="110">
        <f t="shared" ref="E492:E528" si="81">D492*E$37</f>
        <v>6.9361217111457069E-2</v>
      </c>
      <c r="F492" s="110">
        <f t="shared" si="78"/>
        <v>5.2962585523149794E-2</v>
      </c>
      <c r="G492" s="110">
        <f t="shared" si="78"/>
        <v>1.021792907342497E-2</v>
      </c>
      <c r="H492" s="110">
        <f t="shared" si="78"/>
        <v>4.1620892356109861E-5</v>
      </c>
      <c r="I492" s="110">
        <f t="shared" si="78"/>
        <v>5.136018116743956E-2</v>
      </c>
      <c r="J492" s="110">
        <f t="shared" si="78"/>
        <v>2.416092801272177E-2</v>
      </c>
      <c r="K492" s="275">
        <f t="shared" si="77"/>
        <v>49493.702048611463</v>
      </c>
    </row>
    <row r="493" spans="2:11" x14ac:dyDescent="0.2">
      <c r="B493" s="108">
        <f t="shared" si="79"/>
        <v>15735260</v>
      </c>
      <c r="C493" s="5">
        <v>454</v>
      </c>
      <c r="D493" s="109">
        <f t="shared" si="80"/>
        <v>0.20465408980422778</v>
      </c>
      <c r="E493" s="110">
        <f t="shared" si="81"/>
        <v>6.8211208131749121E-2</v>
      </c>
      <c r="F493" s="110">
        <f t="shared" si="78"/>
        <v>5.2084465855175968E-2</v>
      </c>
      <c r="G493" s="110">
        <f t="shared" si="78"/>
        <v>1.0048515809387584E-2</v>
      </c>
      <c r="H493" s="110">
        <f t="shared" si="78"/>
        <v>4.0930817960845557E-5</v>
      </c>
      <c r="I493" s="110">
        <f t="shared" si="78"/>
        <v>5.0508629363683416E-2</v>
      </c>
      <c r="J493" s="110">
        <f t="shared" si="78"/>
        <v>2.3760339826270845E-2</v>
      </c>
      <c r="K493" s="275">
        <f t="shared" si="77"/>
        <v>49505.052743055909</v>
      </c>
    </row>
    <row r="494" spans="2:11" x14ac:dyDescent="0.2">
      <c r="B494" s="108">
        <f t="shared" si="79"/>
        <v>15767950</v>
      </c>
      <c r="C494" s="5">
        <v>455</v>
      </c>
      <c r="D494" s="109">
        <f t="shared" si="80"/>
        <v>0.20126092499527368</v>
      </c>
      <c r="E494" s="110">
        <f t="shared" si="81"/>
        <v>6.7080266300924715E-2</v>
      </c>
      <c r="F494" s="110">
        <f t="shared" si="78"/>
        <v>5.1220905411297153E-2</v>
      </c>
      <c r="G494" s="110">
        <f t="shared" si="78"/>
        <v>9.8819114172679374E-3</v>
      </c>
      <c r="H494" s="110">
        <f t="shared" si="78"/>
        <v>4.0252184999054738E-5</v>
      </c>
      <c r="I494" s="110">
        <f t="shared" si="78"/>
        <v>4.9671196288833541E-2</v>
      </c>
      <c r="J494" s="110">
        <f t="shared" si="78"/>
        <v>2.3366393391951273E-2</v>
      </c>
      <c r="K494" s="275">
        <f t="shared" si="77"/>
        <v>49516.403437500354</v>
      </c>
    </row>
    <row r="495" spans="2:11" x14ac:dyDescent="0.2">
      <c r="B495" s="108">
        <f t="shared" si="79"/>
        <v>15800640</v>
      </c>
      <c r="C495" s="5">
        <v>456</v>
      </c>
      <c r="D495" s="109">
        <f t="shared" si="80"/>
        <v>0.19792401885885202</v>
      </c>
      <c r="E495" s="110">
        <f t="shared" si="81"/>
        <v>6.5968075485655378E-2</v>
      </c>
      <c r="F495" s="110">
        <f t="shared" si="78"/>
        <v>5.0371662799577839E-2</v>
      </c>
      <c r="G495" s="110">
        <f t="shared" si="78"/>
        <v>9.7180693259696343E-3</v>
      </c>
      <c r="H495" s="110">
        <f t="shared" si="78"/>
        <v>3.9584803771770406E-5</v>
      </c>
      <c r="I495" s="110">
        <f t="shared" si="78"/>
        <v>4.8847647854364677E-2</v>
      </c>
      <c r="J495" s="110">
        <f t="shared" si="78"/>
        <v>2.297897858951272E-2</v>
      </c>
      <c r="K495" s="275">
        <f t="shared" si="77"/>
        <v>49527.754131944799</v>
      </c>
    </row>
    <row r="496" spans="2:11" x14ac:dyDescent="0.2">
      <c r="B496" s="108">
        <f t="shared" si="79"/>
        <v>15833330</v>
      </c>
      <c r="C496" s="5">
        <v>457</v>
      </c>
      <c r="D496" s="109">
        <f t="shared" si="80"/>
        <v>0.19464243862617225</v>
      </c>
      <c r="E496" s="110">
        <f t="shared" si="81"/>
        <v>6.4874324794103211E-2</v>
      </c>
      <c r="F496" s="110">
        <f t="shared" si="78"/>
        <v>4.9536500630360837E-2</v>
      </c>
      <c r="G496" s="110">
        <f t="shared" si="78"/>
        <v>9.5569437365450576E-3</v>
      </c>
      <c r="H496" s="110">
        <f t="shared" si="78"/>
        <v>3.8928487725234451E-5</v>
      </c>
      <c r="I496" s="110">
        <f t="shared" si="78"/>
        <v>4.8037753852939312E-2</v>
      </c>
      <c r="J496" s="110">
        <f t="shared" si="78"/>
        <v>2.2597987124498599E-2</v>
      </c>
      <c r="K496" s="275">
        <f t="shared" si="77"/>
        <v>49539.104826389244</v>
      </c>
    </row>
    <row r="497" spans="2:11" x14ac:dyDescent="0.2">
      <c r="B497" s="108">
        <f t="shared" si="79"/>
        <v>15866020</v>
      </c>
      <c r="C497" s="5">
        <v>458</v>
      </c>
      <c r="D497" s="109">
        <f t="shared" si="80"/>
        <v>0.1914152669937503</v>
      </c>
      <c r="E497" s="110">
        <f t="shared" si="81"/>
        <v>6.3798708489016975E-2</v>
      </c>
      <c r="F497" s="110">
        <f t="shared" si="78"/>
        <v>4.8715185449909451E-2</v>
      </c>
      <c r="G497" s="110">
        <f t="shared" si="78"/>
        <v>9.3984896093931396E-3</v>
      </c>
      <c r="H497" s="110">
        <f t="shared" si="78"/>
        <v>3.8283053398750061E-5</v>
      </c>
      <c r="I497" s="110">
        <f t="shared" si="78"/>
        <v>4.7241287894057571E-2</v>
      </c>
      <c r="J497" s="110">
        <f t="shared" si="78"/>
        <v>2.222331249797441E-2</v>
      </c>
      <c r="K497" s="275">
        <f t="shared" si="77"/>
        <v>49550.45552083369</v>
      </c>
    </row>
    <row r="498" spans="2:11" x14ac:dyDescent="0.2">
      <c r="B498" s="108">
        <f t="shared" si="79"/>
        <v>15898710</v>
      </c>
      <c r="C498" s="5">
        <v>459</v>
      </c>
      <c r="D498" s="109">
        <f t="shared" si="80"/>
        <v>0.18824160186699393</v>
      </c>
      <c r="E498" s="110">
        <f t="shared" si="81"/>
        <v>6.2740925902269068E-2</v>
      </c>
      <c r="F498" s="110">
        <f t="shared" si="78"/>
        <v>4.7907487675149955E-2</v>
      </c>
      <c r="G498" s="110">
        <f t="shared" si="78"/>
        <v>9.2426626516694012E-3</v>
      </c>
      <c r="H498" s="110">
        <f t="shared" si="78"/>
        <v>3.7648320373398786E-5</v>
      </c>
      <c r="I498" s="110">
        <f t="shared" si="78"/>
        <v>4.6458027340774102E-2</v>
      </c>
      <c r="J498" s="110">
        <f t="shared" si="78"/>
        <v>2.1854849976757993E-2</v>
      </c>
      <c r="K498" s="275">
        <f t="shared" si="77"/>
        <v>49561.806215278135</v>
      </c>
    </row>
    <row r="499" spans="2:11" x14ac:dyDescent="0.2">
      <c r="B499" s="108">
        <f t="shared" si="79"/>
        <v>15931400</v>
      </c>
      <c r="C499" s="5">
        <v>460</v>
      </c>
      <c r="D499" s="109">
        <f t="shared" si="80"/>
        <v>0.18512055610803915</v>
      </c>
      <c r="E499" s="110">
        <f t="shared" si="81"/>
        <v>6.1700681350809444E-2</v>
      </c>
      <c r="F499" s="110">
        <f t="shared" si="78"/>
        <v>4.7113181529495965E-2</v>
      </c>
      <c r="G499" s="110">
        <f t="shared" si="78"/>
        <v>9.0894193049047226E-3</v>
      </c>
      <c r="H499" s="110">
        <f t="shared" si="78"/>
        <v>3.7024111221607834E-5</v>
      </c>
      <c r="I499" s="110">
        <f t="shared" si="78"/>
        <v>4.5687753247464061E-2</v>
      </c>
      <c r="J499" s="110">
        <f t="shared" si="78"/>
        <v>2.1492496564143343E-2</v>
      </c>
      <c r="K499" s="275">
        <f t="shared" si="77"/>
        <v>49573.15690972258</v>
      </c>
    </row>
    <row r="500" spans="2:11" x14ac:dyDescent="0.2">
      <c r="B500" s="108">
        <f t="shared" si="79"/>
        <v>15964090</v>
      </c>
      <c r="C500" s="5">
        <v>461</v>
      </c>
      <c r="D500" s="109">
        <f t="shared" si="80"/>
        <v>0.18205125728776786</v>
      </c>
      <c r="E500" s="110">
        <f t="shared" si="81"/>
        <v>6.0677684054013026E-2</v>
      </c>
      <c r="F500" s="110">
        <f t="shared" si="78"/>
        <v>4.6332044979736919E-2</v>
      </c>
      <c r="G500" s="110">
        <f t="shared" si="78"/>
        <v>8.9387167328294007E-3</v>
      </c>
      <c r="H500" s="110">
        <f t="shared" si="78"/>
        <v>3.6410251457553576E-5</v>
      </c>
      <c r="I500" s="110">
        <f t="shared" si="78"/>
        <v>4.4930250298621105E-2</v>
      </c>
      <c r="J500" s="110">
        <f t="shared" si="78"/>
        <v>2.1136150971109848E-2</v>
      </c>
      <c r="K500" s="275">
        <f t="shared" si="77"/>
        <v>49584.507604167025</v>
      </c>
    </row>
    <row r="501" spans="2:11" x14ac:dyDescent="0.2">
      <c r="B501" s="108">
        <f t="shared" si="79"/>
        <v>15996780</v>
      </c>
      <c r="C501" s="5">
        <v>462</v>
      </c>
      <c r="D501" s="109">
        <f t="shared" si="80"/>
        <v>0.17903284744193665</v>
      </c>
      <c r="E501" s="110">
        <f t="shared" si="81"/>
        <v>5.9671648052397483E-2</v>
      </c>
      <c r="F501" s="110">
        <f t="shared" si="78"/>
        <v>4.5563859673972876E-2</v>
      </c>
      <c r="G501" s="110">
        <f t="shared" si="78"/>
        <v>8.7905128093990897E-3</v>
      </c>
      <c r="H501" s="110">
        <f t="shared" si="78"/>
        <v>3.5806569488387331E-5</v>
      </c>
      <c r="I501" s="110">
        <f t="shared" si="78"/>
        <v>4.4185306748669967E-2</v>
      </c>
      <c r="J501" s="110">
        <f t="shared" si="78"/>
        <v>2.0785713588008844E-2</v>
      </c>
      <c r="K501" s="275">
        <f t="shared" si="77"/>
        <v>49595.858298611471</v>
      </c>
    </row>
    <row r="502" spans="2:11" x14ac:dyDescent="0.2">
      <c r="B502" s="108">
        <f t="shared" si="79"/>
        <v>16029470</v>
      </c>
      <c r="C502" s="5">
        <v>463</v>
      </c>
      <c r="D502" s="109">
        <f t="shared" si="80"/>
        <v>0.17606448283134934</v>
      </c>
      <c r="E502" s="110">
        <f t="shared" si="81"/>
        <v>5.8682292127688732E-2</v>
      </c>
      <c r="F502" s="110">
        <f t="shared" si="78"/>
        <v>4.4808410880578409E-2</v>
      </c>
      <c r="G502" s="110">
        <f t="shared" si="78"/>
        <v>8.6447661070192527E-3</v>
      </c>
      <c r="H502" s="110">
        <f t="shared" si="78"/>
        <v>3.5212896566269869E-5</v>
      </c>
      <c r="I502" s="110">
        <f t="shared" si="78"/>
        <v>4.345271436277702E-2</v>
      </c>
      <c r="J502" s="110">
        <f t="shared" si="78"/>
        <v>2.0441086456719659E-2</v>
      </c>
      <c r="K502" s="275">
        <f t="shared" si="77"/>
        <v>49607.208993055916</v>
      </c>
    </row>
    <row r="503" spans="2:11" x14ac:dyDescent="0.2">
      <c r="B503" s="108">
        <f t="shared" si="79"/>
        <v>16062160</v>
      </c>
      <c r="C503" s="5">
        <v>464</v>
      </c>
      <c r="D503" s="109">
        <f t="shared" si="80"/>
        <v>0.17314533370600557</v>
      </c>
      <c r="E503" s="110">
        <f t="shared" si="81"/>
        <v>5.7709339724211654E-2</v>
      </c>
      <c r="F503" s="110">
        <f t="shared" si="78"/>
        <v>4.4065487428178417E-2</v>
      </c>
      <c r="G503" s="110">
        <f t="shared" si="78"/>
        <v>8.5014358849648738E-3</v>
      </c>
      <c r="H503" s="110">
        <f t="shared" si="78"/>
        <v>3.4629066741201118E-5</v>
      </c>
      <c r="I503" s="110">
        <f t="shared" si="78"/>
        <v>4.2732268358642175E-2</v>
      </c>
      <c r="J503" s="110">
        <f t="shared" si="78"/>
        <v>2.0102173243267248E-2</v>
      </c>
      <c r="K503" s="275">
        <f t="shared" si="77"/>
        <v>49618.559687500361</v>
      </c>
    </row>
    <row r="504" spans="2:11" x14ac:dyDescent="0.2">
      <c r="B504" s="108">
        <f t="shared" si="79"/>
        <v>16094850</v>
      </c>
      <c r="C504" s="5">
        <v>465</v>
      </c>
      <c r="D504" s="109">
        <f t="shared" si="80"/>
        <v>0.17027458407315998</v>
      </c>
      <c r="E504" s="110">
        <f t="shared" si="81"/>
        <v>5.6752518871584223E-2</v>
      </c>
      <c r="F504" s="110">
        <f t="shared" si="78"/>
        <v>4.3334881646619215E-2</v>
      </c>
      <c r="G504" s="110">
        <f t="shared" si="78"/>
        <v>8.3604820779921551E-3</v>
      </c>
      <c r="H504" s="110">
        <f t="shared" si="78"/>
        <v>3.4054916814632001E-5</v>
      </c>
      <c r="I504" s="110">
        <f t="shared" si="78"/>
        <v>4.2023767349255885E-2</v>
      </c>
      <c r="J504" s="110">
        <f t="shared" si="78"/>
        <v>1.9768879210893875E-2</v>
      </c>
      <c r="K504" s="275">
        <f t="shared" si="77"/>
        <v>49629.910381944806</v>
      </c>
    </row>
    <row r="505" spans="2:11" x14ac:dyDescent="0.2">
      <c r="B505" s="108">
        <f t="shared" si="79"/>
        <v>16127540</v>
      </c>
      <c r="C505" s="5">
        <v>466</v>
      </c>
      <c r="D505" s="109">
        <f t="shared" si="80"/>
        <v>0.16745143146922697</v>
      </c>
      <c r="E505" s="110">
        <f t="shared" si="81"/>
        <v>5.5811562108693348E-2</v>
      </c>
      <c r="F505" s="110">
        <f t="shared" si="78"/>
        <v>4.2616389308918264E-2</v>
      </c>
      <c r="G505" s="110">
        <f t="shared" si="78"/>
        <v>8.2218652851390444E-3</v>
      </c>
      <c r="H505" s="110">
        <f t="shared" si="78"/>
        <v>3.3490286293845394E-5</v>
      </c>
      <c r="I505" s="110">
        <f t="shared" si="78"/>
        <v>4.1327013286605215E-2</v>
      </c>
      <c r="J505" s="110">
        <f t="shared" si="78"/>
        <v>1.9441111193577252E-2</v>
      </c>
      <c r="K505" s="275">
        <f t="shared" si="77"/>
        <v>49641.261076389252</v>
      </c>
    </row>
    <row r="506" spans="2:11" x14ac:dyDescent="0.2">
      <c r="B506" s="108">
        <f t="shared" si="79"/>
        <v>16160230</v>
      </c>
      <c r="C506" s="5">
        <v>467</v>
      </c>
      <c r="D506" s="109">
        <f t="shared" si="80"/>
        <v>0.16467508673546719</v>
      </c>
      <c r="E506" s="110">
        <f t="shared" si="81"/>
        <v>5.4886206408931208E-2</v>
      </c>
      <c r="F506" s="110">
        <f t="shared" si="78"/>
        <v>4.19098095741764E-2</v>
      </c>
      <c r="G506" s="110">
        <f t="shared" si="78"/>
        <v>8.0855467587114382E-3</v>
      </c>
      <c r="H506" s="110">
        <f t="shared" si="78"/>
        <v>3.2935017347093436E-5</v>
      </c>
      <c r="I506" s="110">
        <f t="shared" si="78"/>
        <v>4.0641811406313302E-2</v>
      </c>
      <c r="J506" s="110">
        <f t="shared" si="78"/>
        <v>1.9118777569987741E-2</v>
      </c>
      <c r="K506" s="275">
        <f t="shared" ref="K506:K528" si="82">K505+($D$22/24/60/60)*$B$22</f>
        <v>49652.611770833697</v>
      </c>
    </row>
    <row r="507" spans="2:11" x14ac:dyDescent="0.2">
      <c r="B507" s="108">
        <f t="shared" si="79"/>
        <v>16192920</v>
      </c>
      <c r="C507" s="5">
        <v>468</v>
      </c>
      <c r="D507" s="109">
        <f t="shared" si="80"/>
        <v>0.16194477379739314</v>
      </c>
      <c r="E507" s="110">
        <f t="shared" si="81"/>
        <v>5.3976193106671129E-2</v>
      </c>
      <c r="F507" s="110">
        <f t="shared" si="78"/>
        <v>4.1214944931436556E-2</v>
      </c>
      <c r="G507" s="110">
        <f t="shared" si="78"/>
        <v>7.9514883934520032E-3</v>
      </c>
      <c r="H507" s="110">
        <f t="shared" si="78"/>
        <v>3.2388954759478626E-5</v>
      </c>
      <c r="I507" s="110">
        <f t="shared" si="78"/>
        <v>3.9967970173196622E-2</v>
      </c>
      <c r="J507" s="110">
        <f t="shared" si="78"/>
        <v>1.8801788237877343E-2</v>
      </c>
      <c r="K507" s="275">
        <f t="shared" si="82"/>
        <v>49663.962465278142</v>
      </c>
    </row>
    <row r="508" spans="2:11" x14ac:dyDescent="0.2">
      <c r="B508" s="108">
        <f t="shared" si="79"/>
        <v>16225610</v>
      </c>
      <c r="C508" s="5">
        <v>469</v>
      </c>
      <c r="D508" s="109">
        <f t="shared" si="80"/>
        <v>0.15925972944783234</v>
      </c>
      <c r="E508" s="110">
        <f t="shared" si="81"/>
        <v>5.3081267824962516E-2</v>
      </c>
      <c r="F508" s="110">
        <f t="shared" si="78"/>
        <v>4.053160114447333E-2</v>
      </c>
      <c r="G508" s="110">
        <f t="shared" si="78"/>
        <v>7.819652715888567E-3</v>
      </c>
      <c r="H508" s="110">
        <f t="shared" si="78"/>
        <v>3.1851945889566472E-5</v>
      </c>
      <c r="I508" s="110">
        <f t="shared" si="78"/>
        <v>3.930530122772502E-2</v>
      </c>
      <c r="J508" s="110">
        <f t="shared" si="78"/>
        <v>1.8490054588893336E-2</v>
      </c>
      <c r="K508" s="275">
        <f t="shared" si="82"/>
        <v>49675.313159722587</v>
      </c>
    </row>
    <row r="509" spans="2:11" x14ac:dyDescent="0.2">
      <c r="B509" s="108">
        <f t="shared" si="79"/>
        <v>16258300</v>
      </c>
      <c r="C509" s="5">
        <v>470</v>
      </c>
      <c r="D509" s="109">
        <f t="shared" si="80"/>
        <v>0.15661920313358726</v>
      </c>
      <c r="E509" s="110">
        <f t="shared" si="81"/>
        <v>5.2201180404424632E-2</v>
      </c>
      <c r="F509" s="110">
        <f t="shared" si="78"/>
        <v>3.9859587197497957E-2</v>
      </c>
      <c r="G509" s="110">
        <f t="shared" si="78"/>
        <v>7.690002873859134E-3</v>
      </c>
      <c r="H509" s="110">
        <f t="shared" si="78"/>
        <v>3.1323840626717458E-5</v>
      </c>
      <c r="I509" s="110">
        <f t="shared" si="78"/>
        <v>3.8653619333369332E-2</v>
      </c>
      <c r="J509" s="110">
        <f t="shared" si="78"/>
        <v>1.8183489483809479E-2</v>
      </c>
      <c r="K509" s="275">
        <f t="shared" si="82"/>
        <v>49686.663854167033</v>
      </c>
    </row>
    <row r="510" spans="2:11" x14ac:dyDescent="0.2">
      <c r="B510" s="108">
        <f t="shared" si="79"/>
        <v>16290990</v>
      </c>
      <c r="C510" s="5">
        <v>471</v>
      </c>
      <c r="D510" s="109">
        <f t="shared" si="80"/>
        <v>0.15402245674563239</v>
      </c>
      <c r="E510" s="110">
        <f t="shared" si="81"/>
        <v>5.1335684833319274E-2</v>
      </c>
      <c r="F510" s="110">
        <f t="shared" si="78"/>
        <v>3.9198715241763445E-2</v>
      </c>
      <c r="G510" s="110">
        <f t="shared" si="78"/>
        <v>7.56250262621055E-3</v>
      </c>
      <c r="H510" s="110">
        <f t="shared" si="78"/>
        <v>3.0804491349126478E-5</v>
      </c>
      <c r="I510" s="110">
        <f t="shared" si="78"/>
        <v>3.8012742324822074E-2</v>
      </c>
      <c r="J510" s="110">
        <f t="shared" si="78"/>
        <v>1.788200722816792E-2</v>
      </c>
      <c r="K510" s="275">
        <f t="shared" si="82"/>
        <v>49698.014548611478</v>
      </c>
    </row>
    <row r="511" spans="2:11" x14ac:dyDescent="0.2">
      <c r="B511" s="108">
        <f t="shared" si="79"/>
        <v>16323680</v>
      </c>
      <c r="C511" s="5">
        <v>472</v>
      </c>
      <c r="D511" s="109">
        <f t="shared" si="80"/>
        <v>0.15146876441278981</v>
      </c>
      <c r="E511" s="110">
        <f t="shared" si="81"/>
        <v>5.0484539178782838E-2</v>
      </c>
      <c r="F511" s="110">
        <f t="shared" si="78"/>
        <v>3.8548800543055005E-2</v>
      </c>
      <c r="G511" s="110">
        <f t="shared" si="78"/>
        <v>7.4371163326679797E-3</v>
      </c>
      <c r="H511" s="110">
        <f t="shared" si="78"/>
        <v>3.0293752882557963E-5</v>
      </c>
      <c r="I511" s="110">
        <f t="shared" si="78"/>
        <v>3.7382491057076521E-2</v>
      </c>
      <c r="J511" s="110">
        <f t="shared" si="78"/>
        <v>1.7585523548324895E-2</v>
      </c>
      <c r="K511" s="275">
        <f t="shared" si="82"/>
        <v>49709.365243055923</v>
      </c>
    </row>
    <row r="512" spans="2:11" x14ac:dyDescent="0.2">
      <c r="B512" s="108">
        <f t="shared" si="79"/>
        <v>16356370</v>
      </c>
      <c r="C512" s="5">
        <v>473</v>
      </c>
      <c r="D512" s="109">
        <f t="shared" si="80"/>
        <v>0.14895741229882575</v>
      </c>
      <c r="E512" s="110">
        <f t="shared" si="81"/>
        <v>4.9647505519198623E-2</v>
      </c>
      <c r="F512" s="110">
        <f t="shared" si="78"/>
        <v>3.7909661430051152E-2</v>
      </c>
      <c r="G512" s="110">
        <f t="shared" si="78"/>
        <v>7.3138089438723438E-3</v>
      </c>
      <c r="H512" s="110">
        <f t="shared" si="78"/>
        <v>2.9791482459765152E-5</v>
      </c>
      <c r="I512" s="110">
        <f t="shared" si="78"/>
        <v>3.6762689355350195E-2</v>
      </c>
      <c r="J512" s="110">
        <f t="shared" si="78"/>
        <v>1.7293955567893669E-2</v>
      </c>
      <c r="K512" s="275">
        <f t="shared" si="82"/>
        <v>49720.715937500368</v>
      </c>
    </row>
    <row r="513" spans="2:11" x14ac:dyDescent="0.2">
      <c r="B513" s="108">
        <f t="shared" si="79"/>
        <v>16389060</v>
      </c>
      <c r="C513" s="5">
        <v>474</v>
      </c>
      <c r="D513" s="109">
        <f t="shared" si="80"/>
        <v>0.1464876984029112</v>
      </c>
      <c r="E513" s="110">
        <f t="shared" si="81"/>
        <v>4.8824349877690305E-2</v>
      </c>
      <c r="F513" s="110">
        <f t="shared" si="78"/>
        <v>3.7281119243540904E-2</v>
      </c>
      <c r="G513" s="110">
        <f t="shared" si="78"/>
        <v>7.1925459915829397E-3</v>
      </c>
      <c r="H513" s="110">
        <f t="shared" si="78"/>
        <v>2.9297539680582241E-5</v>
      </c>
      <c r="I513" s="110">
        <f t="shared" si="78"/>
        <v>3.6153163965838481E-2</v>
      </c>
      <c r="J513" s="110">
        <f t="shared" si="78"/>
        <v>1.7007221784577989E-2</v>
      </c>
      <c r="K513" s="275">
        <f t="shared" si="82"/>
        <v>49732.066631944814</v>
      </c>
    </row>
    <row r="514" spans="2:11" x14ac:dyDescent="0.2">
      <c r="B514" s="108">
        <f t="shared" si="79"/>
        <v>16421750</v>
      </c>
      <c r="C514" s="5">
        <v>475</v>
      </c>
      <c r="D514" s="109">
        <f t="shared" si="80"/>
        <v>0.14405893236339093</v>
      </c>
      <c r="E514" s="110">
        <f t="shared" si="81"/>
        <v>4.8014842156718196E-2</v>
      </c>
      <c r="F514" s="110">
        <f t="shared" si="78"/>
        <v>3.6662998286482992E-2</v>
      </c>
      <c r="G514" s="110">
        <f t="shared" si="78"/>
        <v>7.0732935790424941E-3</v>
      </c>
      <c r="H514" s="110">
        <f t="shared" si="78"/>
        <v>2.8811786472678187E-5</v>
      </c>
      <c r="I514" s="110">
        <f t="shared" si="78"/>
        <v>3.5553744507284879E-2</v>
      </c>
      <c r="J514" s="110">
        <f t="shared" si="78"/>
        <v>1.6725242047389687E-2</v>
      </c>
      <c r="K514" s="275">
        <f t="shared" si="82"/>
        <v>49743.417326389259</v>
      </c>
    </row>
    <row r="515" spans="2:11" x14ac:dyDescent="0.2">
      <c r="B515" s="108">
        <f t="shared" si="79"/>
        <v>16454440</v>
      </c>
      <c r="C515" s="5">
        <v>476</v>
      </c>
      <c r="D515" s="109">
        <f t="shared" si="80"/>
        <v>0.14167043526480591</v>
      </c>
      <c r="E515" s="110">
        <f t="shared" si="81"/>
        <v>4.7218756073759811E-2</v>
      </c>
      <c r="F515" s="110">
        <f t="shared" si="78"/>
        <v>3.6055125774893101E-2</v>
      </c>
      <c r="G515" s="110">
        <f t="shared" si="78"/>
        <v>6.9560183715019703E-3</v>
      </c>
      <c r="H515" s="110">
        <f t="shared" si="78"/>
        <v>2.8334087052961184E-5</v>
      </c>
      <c r="I515" s="110">
        <f t="shared" si="78"/>
        <v>3.4964263423354097E-2</v>
      </c>
      <c r="J515" s="110">
        <f t="shared" si="78"/>
        <v>1.6447937534243964E-2</v>
      </c>
      <c r="K515" s="275">
        <f t="shared" si="82"/>
        <v>49754.768020833704</v>
      </c>
    </row>
    <row r="516" spans="2:11" x14ac:dyDescent="0.2">
      <c r="B516" s="108">
        <f t="shared" si="79"/>
        <v>16487130</v>
      </c>
      <c r="C516" s="5">
        <v>477</v>
      </c>
      <c r="D516" s="109">
        <f t="shared" si="80"/>
        <v>0.13932153944811543</v>
      </c>
      <c r="E516" s="110">
        <f t="shared" si="81"/>
        <v>4.6435869098056873E-2</v>
      </c>
      <c r="F516" s="110">
        <f t="shared" si="78"/>
        <v>3.5457331789545375E-2</v>
      </c>
      <c r="G516" s="110">
        <f t="shared" si="78"/>
        <v>6.8406875869024674E-3</v>
      </c>
      <c r="H516" s="110">
        <f t="shared" si="78"/>
        <v>2.7864307889623088E-5</v>
      </c>
      <c r="I516" s="110">
        <f t="shared" si="78"/>
        <v>3.4384555935794883E-2</v>
      </c>
      <c r="J516" s="110">
        <f t="shared" si="78"/>
        <v>1.6175230729926202E-2</v>
      </c>
      <c r="K516" s="275">
        <f t="shared" si="82"/>
        <v>49766.118715278149</v>
      </c>
    </row>
    <row r="517" spans="2:11" x14ac:dyDescent="0.2">
      <c r="B517" s="108">
        <f t="shared" si="79"/>
        <v>16519820</v>
      </c>
      <c r="C517" s="5">
        <v>478</v>
      </c>
      <c r="D517" s="109">
        <f t="shared" si="80"/>
        <v>0.13701158832406568</v>
      </c>
      <c r="E517" s="110">
        <f t="shared" si="81"/>
        <v>4.5665962388411092E-2</v>
      </c>
      <c r="F517" s="110">
        <f t="shared" si="78"/>
        <v>3.4869449228474715E-2</v>
      </c>
      <c r="G517" s="110">
        <f t="shared" si="78"/>
        <v>6.7272689867116245E-3</v>
      </c>
      <c r="H517" s="110">
        <f t="shared" si="78"/>
        <v>2.7402317664813138E-5</v>
      </c>
      <c r="I517" s="110">
        <f t="shared" si="78"/>
        <v>3.3814459998379412E-2</v>
      </c>
      <c r="J517" s="110">
        <f t="shared" si="78"/>
        <v>1.5907045404424024E-2</v>
      </c>
      <c r="K517" s="275">
        <f t="shared" si="82"/>
        <v>49777.469409722595</v>
      </c>
    </row>
    <row r="518" spans="2:11" x14ac:dyDescent="0.2">
      <c r="B518" s="108">
        <f t="shared" si="79"/>
        <v>16552510</v>
      </c>
      <c r="C518" s="5">
        <v>479</v>
      </c>
      <c r="D518" s="109">
        <f t="shared" si="80"/>
        <v>0.13473993618965266</v>
      </c>
      <c r="E518" s="110">
        <f t="shared" si="81"/>
        <v>4.4908820732011231E-2</v>
      </c>
      <c r="F518" s="110">
        <f t="shared" si="78"/>
        <v>3.4291313760266603E-2</v>
      </c>
      <c r="G518" s="110">
        <f t="shared" si="78"/>
        <v>6.6157308669119452E-3</v>
      </c>
      <c r="H518" s="110">
        <f t="shared" si="78"/>
        <v>2.6947987237930533E-5</v>
      </c>
      <c r="I518" s="110">
        <f t="shared" si="78"/>
        <v>3.3253816251606276E-2</v>
      </c>
      <c r="J518" s="110">
        <f t="shared" si="78"/>
        <v>1.5643306591618673E-2</v>
      </c>
      <c r="K518" s="275">
        <f t="shared" si="82"/>
        <v>49788.82010416704</v>
      </c>
    </row>
    <row r="519" spans="2:11" x14ac:dyDescent="0.2">
      <c r="B519" s="108">
        <f t="shared" si="79"/>
        <v>16585200</v>
      </c>
      <c r="C519" s="5">
        <v>480</v>
      </c>
      <c r="D519" s="109">
        <f t="shared" si="80"/>
        <v>0.13250594804762822</v>
      </c>
      <c r="E519" s="110">
        <f t="shared" si="81"/>
        <v>4.4164232484274486E-2</v>
      </c>
      <c r="F519" s="110">
        <f t="shared" si="78"/>
        <v>3.3722763778121383E-2</v>
      </c>
      <c r="G519" s="110">
        <f t="shared" si="78"/>
        <v>6.5060420491385449E-3</v>
      </c>
      <c r="H519" s="110">
        <f t="shared" si="78"/>
        <v>2.6501189609525644E-5</v>
      </c>
      <c r="I519" s="110">
        <f t="shared" si="78"/>
        <v>3.2702467978154647E-2</v>
      </c>
      <c r="J519" s="110">
        <f t="shared" si="78"/>
        <v>1.5383940568329636E-2</v>
      </c>
      <c r="K519" s="275">
        <f t="shared" si="82"/>
        <v>49800.170798611485</v>
      </c>
    </row>
    <row r="520" spans="2:11" x14ac:dyDescent="0.2">
      <c r="B520" s="108">
        <f t="shared" si="79"/>
        <v>16617890</v>
      </c>
      <c r="C520" s="5">
        <v>481</v>
      </c>
      <c r="D520" s="109">
        <f t="shared" si="80"/>
        <v>0.13030899942899854</v>
      </c>
      <c r="E520" s="110">
        <f t="shared" si="81"/>
        <v>4.3431989509685208E-2</v>
      </c>
      <c r="F520" s="110">
        <f t="shared" si="78"/>
        <v>3.3163640354680127E-2</v>
      </c>
      <c r="G520" s="110">
        <f t="shared" si="78"/>
        <v>6.3981718719638278E-3</v>
      </c>
      <c r="H520" s="110">
        <f t="shared" si="78"/>
        <v>2.606179988579971E-5</v>
      </c>
      <c r="I520" s="110">
        <f t="shared" si="78"/>
        <v>3.2160261059076836E-2</v>
      </c>
      <c r="J520" s="110">
        <f t="shared" si="78"/>
        <v>1.5128874833706729E-2</v>
      </c>
      <c r="K520" s="275">
        <f t="shared" si="82"/>
        <v>49811.52149305593</v>
      </c>
    </row>
    <row r="521" spans="2:11" x14ac:dyDescent="0.2">
      <c r="B521" s="108">
        <f t="shared" si="79"/>
        <v>16650580</v>
      </c>
      <c r="C521" s="5">
        <v>482</v>
      </c>
      <c r="D521" s="109">
        <f t="shared" si="80"/>
        <v>0.12814847621846573</v>
      </c>
      <c r="E521" s="110">
        <f t="shared" si="81"/>
        <v>4.2711887123614622E-2</v>
      </c>
      <c r="F521" s="110">
        <f t="shared" si="78"/>
        <v>3.2613787197599525E-2</v>
      </c>
      <c r="G521" s="110">
        <f t="shared" si="78"/>
        <v>6.292090182326667E-3</v>
      </c>
      <c r="H521" s="110">
        <f t="shared" si="78"/>
        <v>2.5629695243693147E-5</v>
      </c>
      <c r="I521" s="110">
        <f t="shared" si="78"/>
        <v>3.1627043930717344E-2</v>
      </c>
      <c r="J521" s="110">
        <f t="shared" si="78"/>
        <v>1.4878038088963871E-2</v>
      </c>
      <c r="K521" s="275">
        <f t="shared" si="82"/>
        <v>49822.872187500376</v>
      </c>
    </row>
    <row r="522" spans="2:11" x14ac:dyDescent="0.2">
      <c r="B522" s="108">
        <f t="shared" si="79"/>
        <v>16683270</v>
      </c>
      <c r="C522" s="5">
        <v>483</v>
      </c>
      <c r="D522" s="109">
        <f t="shared" si="80"/>
        <v>0.12602377448276356</v>
      </c>
      <c r="E522" s="110">
        <f t="shared" si="81"/>
        <v>4.2003724035105092E-2</v>
      </c>
      <c r="F522" s="110">
        <f t="shared" si="78"/>
        <v>3.2073050605863324E-2</v>
      </c>
      <c r="G522" s="110">
        <f t="shared" si="78"/>
        <v>6.1877673271036908E-3</v>
      </c>
      <c r="H522" s="110">
        <f t="shared" si="78"/>
        <v>2.5204754896552713E-5</v>
      </c>
      <c r="I522" s="110">
        <f t="shared" si="78"/>
        <v>3.1102667542346044E-2</v>
      </c>
      <c r="J522" s="110">
        <f t="shared" si="78"/>
        <v>1.4631360217448848E-2</v>
      </c>
      <c r="K522" s="275">
        <f t="shared" si="82"/>
        <v>49834.222881944821</v>
      </c>
    </row>
    <row r="523" spans="2:11" x14ac:dyDescent="0.2">
      <c r="B523" s="108">
        <f t="shared" si="79"/>
        <v>16715960</v>
      </c>
      <c r="C523" s="5">
        <v>484</v>
      </c>
      <c r="D523" s="109">
        <f t="shared" si="80"/>
        <v>0.12393430030183933</v>
      </c>
      <c r="E523" s="110">
        <f t="shared" si="81"/>
        <v>4.1307302290603046E-2</v>
      </c>
      <c r="F523" s="110">
        <f t="shared" si="78"/>
        <v>3.1541279426818107E-2</v>
      </c>
      <c r="G523" s="110">
        <f t="shared" si="78"/>
        <v>6.0851741448203107E-3</v>
      </c>
      <c r="H523" s="110">
        <f t="shared" si="78"/>
        <v>2.4786860060367867E-5</v>
      </c>
      <c r="I523" s="110">
        <f t="shared" si="78"/>
        <v>3.0586985314493945E-2</v>
      </c>
      <c r="J523" s="110">
        <f t="shared" si="78"/>
        <v>1.4388772265043545E-2</v>
      </c>
      <c r="K523" s="275">
        <f t="shared" si="82"/>
        <v>49845.573576389266</v>
      </c>
    </row>
    <row r="524" spans="2:11" x14ac:dyDescent="0.2">
      <c r="B524" s="108">
        <f t="shared" si="79"/>
        <v>16748650</v>
      </c>
      <c r="C524" s="5">
        <v>485</v>
      </c>
      <c r="D524" s="109">
        <f t="shared" si="80"/>
        <v>0.12187946960283483</v>
      </c>
      <c r="E524" s="110">
        <f t="shared" si="81"/>
        <v>4.0622427218624843E-2</v>
      </c>
      <c r="F524" s="110">
        <f t="shared" si="78"/>
        <v>3.1018325013921464E-2</v>
      </c>
      <c r="G524" s="110">
        <f t="shared" si="78"/>
        <v>5.9842819574991895E-3</v>
      </c>
      <c r="H524" s="110">
        <f t="shared" si="78"/>
        <v>2.4375893920566966E-5</v>
      </c>
      <c r="I524" s="110">
        <f t="shared" si="78"/>
        <v>3.0079853097979635E-2</v>
      </c>
      <c r="J524" s="110">
        <f t="shared" si="78"/>
        <v>1.4150206420889122E-2</v>
      </c>
      <c r="K524" s="275">
        <f t="shared" si="82"/>
        <v>49856.924270833711</v>
      </c>
    </row>
    <row r="525" spans="2:11" x14ac:dyDescent="0.2">
      <c r="B525" s="108">
        <f t="shared" si="79"/>
        <v>16781340</v>
      </c>
      <c r="C525" s="5">
        <v>486</v>
      </c>
      <c r="D525" s="109">
        <f t="shared" si="80"/>
        <v>0.11985870799681982</v>
      </c>
      <c r="E525" s="110">
        <f t="shared" si="81"/>
        <v>3.9948907375340043E-2</v>
      </c>
      <c r="F525" s="110">
        <f t="shared" si="78"/>
        <v>3.0504041185190643E-2</v>
      </c>
      <c r="G525" s="110">
        <f t="shared" si="78"/>
        <v>5.8850625626438524E-3</v>
      </c>
      <c r="H525" s="110">
        <f t="shared" si="78"/>
        <v>2.3971741599363964E-5</v>
      </c>
      <c r="I525" s="110">
        <f t="shared" si="78"/>
        <v>2.9581129133615131E-2</v>
      </c>
      <c r="J525" s="110">
        <f t="shared" si="78"/>
        <v>1.391559599843078E-2</v>
      </c>
      <c r="K525" s="275">
        <f t="shared" si="82"/>
        <v>49868.274965278157</v>
      </c>
    </row>
    <row r="526" spans="2:11" x14ac:dyDescent="0.2">
      <c r="B526" s="108">
        <f t="shared" si="79"/>
        <v>16814030</v>
      </c>
      <c r="C526" s="5">
        <v>487</v>
      </c>
      <c r="D526" s="109">
        <f t="shared" si="80"/>
        <v>0.11787145061823254</v>
      </c>
      <c r="E526" s="110">
        <f t="shared" si="81"/>
        <v>3.9286554491056905E-2</v>
      </c>
      <c r="F526" s="110">
        <f t="shared" si="78"/>
        <v>2.9998284182340181E-2</v>
      </c>
      <c r="G526" s="110">
        <f t="shared" si="78"/>
        <v>5.7874882253552175E-3</v>
      </c>
      <c r="H526" s="110">
        <f t="shared" si="78"/>
        <v>2.357429012364651E-5</v>
      </c>
      <c r="I526" s="110">
        <f t="shared" si="78"/>
        <v>2.9090674012579788E-2</v>
      </c>
      <c r="J526" s="110">
        <f t="shared" si="78"/>
        <v>1.3684875416776796E-2</v>
      </c>
      <c r="K526" s="275">
        <f t="shared" si="82"/>
        <v>49879.625659722602</v>
      </c>
    </row>
    <row r="527" spans="2:11" x14ac:dyDescent="0.2">
      <c r="B527" s="108">
        <f t="shared" si="79"/>
        <v>16846720</v>
      </c>
      <c r="C527" s="5">
        <v>488</v>
      </c>
      <c r="D527" s="109">
        <f t="shared" si="80"/>
        <v>0.11591714196698223</v>
      </c>
      <c r="E527" s="110">
        <f t="shared" si="81"/>
        <v>3.8635183417595177E-2</v>
      </c>
      <c r="F527" s="110">
        <f t="shared" si="78"/>
        <v>2.9500912630596978E-2</v>
      </c>
      <c r="G527" s="110">
        <f t="shared" si="78"/>
        <v>5.6915316705788274E-3</v>
      </c>
      <c r="H527" s="110">
        <f t="shared" si="78"/>
        <v>2.3183428393396448E-5</v>
      </c>
      <c r="I527" s="110">
        <f t="shared" si="78"/>
        <v>2.8608350637451214E-2</v>
      </c>
      <c r="J527" s="110">
        <f t="shared" si="78"/>
        <v>1.3457980182366637E-2</v>
      </c>
      <c r="K527" s="275">
        <f t="shared" si="82"/>
        <v>49890.976354167047</v>
      </c>
    </row>
    <row r="528" spans="2:11" x14ac:dyDescent="0.2">
      <c r="B528" s="108">
        <f t="shared" si="79"/>
        <v>16879410</v>
      </c>
      <c r="C528" s="5">
        <v>489</v>
      </c>
      <c r="D528" s="109">
        <f t="shared" si="80"/>
        <v>0.11399523575316967</v>
      </c>
      <c r="E528" s="110">
        <f t="shared" si="81"/>
        <v>3.7994612076531445E-2</v>
      </c>
      <c r="F528" s="110">
        <f t="shared" si="78"/>
        <v>2.9011787499181679E-2</v>
      </c>
      <c r="G528" s="110">
        <f t="shared" si="78"/>
        <v>5.5971660754806302E-3</v>
      </c>
      <c r="H528" s="110">
        <f t="shared" si="78"/>
        <v>2.2799047150633935E-5</v>
      </c>
      <c r="I528" s="110">
        <f t="shared" si="78"/>
        <v>2.8134024183882271E-2</v>
      </c>
      <c r="J528" s="110">
        <f t="shared" si="78"/>
        <v>1.3234846870942998E-2</v>
      </c>
      <c r="K528" s="275">
        <f t="shared" si="82"/>
        <v>49902.327048611493</v>
      </c>
    </row>
  </sheetData>
  <mergeCells count="10">
    <mergeCell ref="C8:E8"/>
    <mergeCell ref="C9:E9"/>
    <mergeCell ref="C2:E2"/>
    <mergeCell ref="B23:D23"/>
    <mergeCell ref="B25:C25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73E6F-1763-4FD9-A901-E175130D8CC8}">
            <xm:f>IF(AND(Stats!$C$6&gt;=$B39,Stats!$C$6&lt;$B40),1,0)</xm:f>
            <x14:dxf>
              <fill>
                <patternFill>
                  <bgColor rgb="FF92D050"/>
                </patternFill>
              </fill>
            </x14:dxf>
          </x14:cfRule>
          <xm:sqref>B39:K528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0" tint="-0.14999847407452621"/>
  </sheetPr>
  <dimension ref="B2:G57"/>
  <sheetViews>
    <sheetView workbookViewId="0"/>
  </sheetViews>
  <sheetFormatPr baseColWidth="10" defaultRowHeight="12.75" x14ac:dyDescent="0.2"/>
  <sheetData>
    <row r="2" spans="2:7" x14ac:dyDescent="0.2">
      <c r="B2" s="15" t="s">
        <v>176</v>
      </c>
      <c r="C2" s="15" t="s">
        <v>177</v>
      </c>
    </row>
    <row r="3" spans="2:7" x14ac:dyDescent="0.2">
      <c r="B3" s="6" t="s">
        <v>58</v>
      </c>
      <c r="C3" s="6" t="s">
        <v>57</v>
      </c>
    </row>
    <row r="4" spans="2:7" x14ac:dyDescent="0.2">
      <c r="B4" s="6" t="s">
        <v>60</v>
      </c>
      <c r="C4" s="6" t="s">
        <v>58</v>
      </c>
    </row>
    <row r="5" spans="2:7" x14ac:dyDescent="0.2">
      <c r="B5" s="6" t="s">
        <v>59</v>
      </c>
      <c r="C5" s="6" t="s">
        <v>61</v>
      </c>
    </row>
    <row r="6" spans="2:7" x14ac:dyDescent="0.2">
      <c r="B6" s="6"/>
      <c r="C6" s="6" t="s">
        <v>59</v>
      </c>
    </row>
    <row r="7" spans="2:7" x14ac:dyDescent="0.2">
      <c r="B7" s="5"/>
      <c r="C7" s="6" t="s">
        <v>30</v>
      </c>
    </row>
    <row r="10" spans="2:7" x14ac:dyDescent="0.2">
      <c r="B10" s="20" t="s">
        <v>97</v>
      </c>
      <c r="C10" s="21" t="s">
        <v>52</v>
      </c>
      <c r="D10" s="21" t="s">
        <v>44</v>
      </c>
      <c r="E10" s="21" t="s">
        <v>176</v>
      </c>
      <c r="F10" s="22" t="s">
        <v>177</v>
      </c>
      <c r="G10" s="21" t="s">
        <v>178</v>
      </c>
    </row>
    <row r="11" spans="2:7" x14ac:dyDescent="0.2">
      <c r="B11" s="18">
        <v>1</v>
      </c>
      <c r="C11" s="17">
        <v>0</v>
      </c>
      <c r="D11" s="16" t="s">
        <v>15</v>
      </c>
      <c r="E11" s="16" t="s">
        <v>58</v>
      </c>
      <c r="F11" s="19" t="s">
        <v>57</v>
      </c>
      <c r="G11" s="47">
        <f>Tabelle2[[#This Row],[id]]</f>
        <v>0</v>
      </c>
    </row>
    <row r="12" spans="2:7" x14ac:dyDescent="0.2">
      <c r="B12" s="18">
        <v>2</v>
      </c>
      <c r="C12" s="17">
        <v>2</v>
      </c>
      <c r="D12" s="16" t="s">
        <v>38</v>
      </c>
      <c r="E12" s="16" t="s">
        <v>58</v>
      </c>
      <c r="F12" s="19" t="s">
        <v>30</v>
      </c>
      <c r="G12" s="47">
        <f>Tabelle2[[#This Row],[id]]</f>
        <v>2</v>
      </c>
    </row>
    <row r="13" spans="2:7" x14ac:dyDescent="0.2">
      <c r="B13" s="18">
        <v>3</v>
      </c>
      <c r="C13" s="17">
        <v>1</v>
      </c>
      <c r="D13" s="16" t="s">
        <v>42</v>
      </c>
      <c r="E13" s="16" t="s">
        <v>58</v>
      </c>
      <c r="F13" s="19" t="s">
        <v>30</v>
      </c>
      <c r="G13" s="47">
        <f>Tabelle2[[#This Row],[id]]</f>
        <v>1</v>
      </c>
    </row>
    <row r="14" spans="2:7" x14ac:dyDescent="0.2">
      <c r="B14" s="18">
        <v>4</v>
      </c>
      <c r="C14" s="17">
        <v>9</v>
      </c>
      <c r="D14" s="16" t="s">
        <v>71</v>
      </c>
      <c r="E14" s="16" t="s">
        <v>58</v>
      </c>
      <c r="F14" s="19" t="s">
        <v>30</v>
      </c>
      <c r="G14" s="47">
        <f>Tabelle2[[#This Row],[id]]</f>
        <v>9</v>
      </c>
    </row>
    <row r="15" spans="2:7" x14ac:dyDescent="0.2">
      <c r="B15" s="18">
        <v>5</v>
      </c>
      <c r="C15" s="17">
        <v>11</v>
      </c>
      <c r="D15" s="16" t="s">
        <v>72</v>
      </c>
      <c r="E15" s="16" t="s">
        <v>58</v>
      </c>
      <c r="F15" s="19" t="s">
        <v>30</v>
      </c>
      <c r="G15" s="47">
        <f>Tabelle2[[#This Row],[id]]</f>
        <v>11</v>
      </c>
    </row>
    <row r="16" spans="2:7" x14ac:dyDescent="0.2">
      <c r="B16" s="18">
        <v>6</v>
      </c>
      <c r="C16" s="17">
        <v>7</v>
      </c>
      <c r="D16" s="16" t="s">
        <v>73</v>
      </c>
      <c r="E16" s="16" t="s">
        <v>58</v>
      </c>
      <c r="F16" s="19" t="s">
        <v>30</v>
      </c>
      <c r="G16" s="47">
        <f>Tabelle2[[#This Row],[id]]</f>
        <v>7</v>
      </c>
    </row>
    <row r="17" spans="2:7" x14ac:dyDescent="0.2">
      <c r="B17" s="18">
        <v>7</v>
      </c>
      <c r="C17" s="17">
        <v>5</v>
      </c>
      <c r="D17" s="16" t="s">
        <v>39</v>
      </c>
      <c r="E17" s="16" t="s">
        <v>60</v>
      </c>
      <c r="F17" s="19" t="s">
        <v>58</v>
      </c>
      <c r="G17" s="47">
        <f>Tabelle2[[#This Row],[id]]</f>
        <v>5</v>
      </c>
    </row>
    <row r="18" spans="2:7" x14ac:dyDescent="0.2">
      <c r="B18" s="18">
        <v>8</v>
      </c>
      <c r="C18" s="17">
        <v>4</v>
      </c>
      <c r="D18" s="16" t="s">
        <v>43</v>
      </c>
      <c r="E18" s="16" t="s">
        <v>60</v>
      </c>
      <c r="F18" s="19" t="s">
        <v>58</v>
      </c>
      <c r="G18" s="47">
        <f>Tabelle2[[#This Row],[id]]</f>
        <v>4</v>
      </c>
    </row>
    <row r="19" spans="2:7" x14ac:dyDescent="0.2">
      <c r="B19" s="18">
        <v>9</v>
      </c>
      <c r="C19" s="17">
        <v>10</v>
      </c>
      <c r="D19" s="16" t="s">
        <v>62</v>
      </c>
      <c r="E19" s="16" t="s">
        <v>60</v>
      </c>
      <c r="F19" s="19" t="s">
        <v>58</v>
      </c>
      <c r="G19" s="47">
        <f>Tabelle2[[#This Row],[id]]</f>
        <v>10</v>
      </c>
    </row>
    <row r="20" spans="2:7" x14ac:dyDescent="0.2">
      <c r="B20" s="18">
        <v>10</v>
      </c>
      <c r="C20" s="17">
        <v>12</v>
      </c>
      <c r="D20" s="16" t="s">
        <v>63</v>
      </c>
      <c r="E20" s="16" t="s">
        <v>60</v>
      </c>
      <c r="F20" s="19" t="s">
        <v>58</v>
      </c>
      <c r="G20" s="47">
        <f>Tabelle2[[#This Row],[id]]</f>
        <v>12</v>
      </c>
    </row>
    <row r="21" spans="2:7" x14ac:dyDescent="0.2">
      <c r="B21" s="18">
        <v>11</v>
      </c>
      <c r="C21" s="17">
        <v>8</v>
      </c>
      <c r="D21" s="16" t="s">
        <v>64</v>
      </c>
      <c r="E21" s="16" t="s">
        <v>60</v>
      </c>
      <c r="F21" s="19" t="s">
        <v>58</v>
      </c>
      <c r="G21" s="47">
        <f>Tabelle2[[#This Row],[id]]</f>
        <v>8</v>
      </c>
    </row>
    <row r="22" spans="2:7" x14ac:dyDescent="0.2">
      <c r="B22" s="18">
        <v>12</v>
      </c>
      <c r="C22" s="17">
        <v>3</v>
      </c>
      <c r="D22" s="16" t="s">
        <v>74</v>
      </c>
      <c r="E22" s="16" t="s">
        <v>58</v>
      </c>
      <c r="F22" s="19" t="s">
        <v>61</v>
      </c>
      <c r="G22" s="47">
        <f>Tabelle2[[#This Row],[id]]</f>
        <v>3</v>
      </c>
    </row>
    <row r="23" spans="2:7" x14ac:dyDescent="0.2">
      <c r="B23" s="18">
        <v>13</v>
      </c>
      <c r="C23" s="17">
        <v>13</v>
      </c>
      <c r="D23" s="16" t="s">
        <v>75</v>
      </c>
      <c r="E23" s="16" t="s">
        <v>58</v>
      </c>
      <c r="F23" s="19" t="s">
        <v>61</v>
      </c>
      <c r="G23" s="47">
        <f>Tabelle2[[#This Row],[id]]</f>
        <v>13</v>
      </c>
    </row>
    <row r="24" spans="2:7" x14ac:dyDescent="0.2">
      <c r="B24" s="18">
        <v>14</v>
      </c>
      <c r="C24" s="17">
        <v>15</v>
      </c>
      <c r="D24" s="16" t="s">
        <v>29</v>
      </c>
      <c r="E24" s="16" t="s">
        <v>58</v>
      </c>
      <c r="F24" s="19" t="s">
        <v>61</v>
      </c>
      <c r="G24" s="47">
        <f>Tabelle2[[#This Row],[id]]</f>
        <v>15</v>
      </c>
    </row>
    <row r="25" spans="2:7" x14ac:dyDescent="0.2">
      <c r="B25" s="18">
        <v>15</v>
      </c>
      <c r="C25" s="17">
        <v>6</v>
      </c>
      <c r="D25" s="16" t="s">
        <v>66</v>
      </c>
      <c r="E25" s="16" t="s">
        <v>60</v>
      </c>
      <c r="F25" s="19" t="s">
        <v>61</v>
      </c>
      <c r="G25" s="47">
        <f>Tabelle2[[#This Row],[id]]</f>
        <v>6</v>
      </c>
    </row>
    <row r="26" spans="2:7" x14ac:dyDescent="0.2">
      <c r="B26" s="18">
        <v>16</v>
      </c>
      <c r="C26" s="17">
        <v>14</v>
      </c>
      <c r="D26" s="16" t="s">
        <v>65</v>
      </c>
      <c r="E26" s="16" t="s">
        <v>60</v>
      </c>
      <c r="F26" s="19" t="s">
        <v>61</v>
      </c>
      <c r="G26" s="47">
        <f>Tabelle2[[#This Row],[id]]</f>
        <v>14</v>
      </c>
    </row>
    <row r="27" spans="2:7" x14ac:dyDescent="0.2">
      <c r="B27" s="18">
        <v>17</v>
      </c>
      <c r="C27" s="17">
        <v>17</v>
      </c>
      <c r="D27" s="16" t="s">
        <v>22</v>
      </c>
      <c r="E27" s="16" t="s">
        <v>60</v>
      </c>
      <c r="F27" s="19" t="s">
        <v>61</v>
      </c>
      <c r="G27" s="47">
        <f>Tabelle2[[#This Row],[id]]</f>
        <v>17</v>
      </c>
    </row>
    <row r="28" spans="2:7" x14ac:dyDescent="0.2">
      <c r="B28" s="18">
        <v>18</v>
      </c>
      <c r="C28" s="17">
        <v>16</v>
      </c>
      <c r="D28" s="16" t="s">
        <v>31</v>
      </c>
      <c r="E28" s="16" t="s">
        <v>59</v>
      </c>
      <c r="F28" s="19" t="s">
        <v>30</v>
      </c>
      <c r="G28" s="47">
        <f>Tabelle2[[#This Row],[id]]</f>
        <v>16</v>
      </c>
    </row>
    <row r="29" spans="2:7" x14ac:dyDescent="0.2">
      <c r="B29" s="18">
        <v>19</v>
      </c>
      <c r="C29" s="17">
        <v>20</v>
      </c>
      <c r="D29" s="16" t="s">
        <v>32</v>
      </c>
      <c r="E29" s="16" t="s">
        <v>59</v>
      </c>
      <c r="F29" s="19" t="s">
        <v>30</v>
      </c>
      <c r="G29" s="47">
        <f>Tabelle2[[#This Row],[id]]</f>
        <v>20</v>
      </c>
    </row>
    <row r="30" spans="2:7" x14ac:dyDescent="0.2">
      <c r="B30" s="18">
        <v>20</v>
      </c>
      <c r="C30" s="17">
        <v>23</v>
      </c>
      <c r="D30" s="16" t="s">
        <v>33</v>
      </c>
      <c r="E30" s="16" t="s">
        <v>59</v>
      </c>
      <c r="F30" s="19" t="s">
        <v>30</v>
      </c>
      <c r="G30" s="47">
        <f>Tabelle2[[#This Row],[id]]</f>
        <v>23</v>
      </c>
    </row>
    <row r="31" spans="2:7" x14ac:dyDescent="0.2">
      <c r="B31" s="18">
        <v>21</v>
      </c>
      <c r="C31" s="17">
        <v>19</v>
      </c>
      <c r="D31" s="16" t="s">
        <v>67</v>
      </c>
      <c r="E31" s="16" t="s">
        <v>59</v>
      </c>
      <c r="F31" s="19" t="s">
        <v>30</v>
      </c>
      <c r="G31" s="47">
        <f>Tabelle2[[#This Row],[id]]</f>
        <v>19</v>
      </c>
    </row>
    <row r="32" spans="2:7" x14ac:dyDescent="0.2">
      <c r="B32" s="18">
        <v>22</v>
      </c>
      <c r="C32" s="17">
        <v>21</v>
      </c>
      <c r="D32" s="16" t="s">
        <v>68</v>
      </c>
      <c r="E32" s="16" t="s">
        <v>59</v>
      </c>
      <c r="F32" s="19" t="s">
        <v>30</v>
      </c>
      <c r="G32" s="47">
        <f>Tabelle2[[#This Row],[id]]</f>
        <v>21</v>
      </c>
    </row>
    <row r="33" spans="2:7" x14ac:dyDescent="0.2">
      <c r="B33" s="18">
        <v>23</v>
      </c>
      <c r="C33" s="17">
        <v>22</v>
      </c>
      <c r="D33" s="16" t="s">
        <v>69</v>
      </c>
      <c r="E33" s="16" t="s">
        <v>59</v>
      </c>
      <c r="F33" s="19" t="s">
        <v>30</v>
      </c>
      <c r="G33" s="47">
        <f>Tabelle2[[#This Row],[id]]</f>
        <v>22</v>
      </c>
    </row>
    <row r="34" spans="2:7" x14ac:dyDescent="0.2">
      <c r="B34" s="18">
        <v>24</v>
      </c>
      <c r="C34" s="17">
        <v>24</v>
      </c>
      <c r="D34" s="16" t="s">
        <v>70</v>
      </c>
      <c r="E34" s="16" t="s">
        <v>59</v>
      </c>
      <c r="F34" s="19" t="s">
        <v>30</v>
      </c>
      <c r="G34" s="47">
        <f>Tabelle2[[#This Row],[id]]</f>
        <v>24</v>
      </c>
    </row>
    <row r="35" spans="2:7" x14ac:dyDescent="0.2">
      <c r="B35" s="18">
        <v>25</v>
      </c>
      <c r="C35" s="17">
        <v>26</v>
      </c>
      <c r="D35" s="16" t="s">
        <v>35</v>
      </c>
      <c r="E35" s="16" t="s">
        <v>59</v>
      </c>
      <c r="F35" s="19" t="s">
        <v>30</v>
      </c>
      <c r="G35" s="47">
        <f>Tabelle2[[#This Row],[id]]</f>
        <v>26</v>
      </c>
    </row>
    <row r="36" spans="2:7" x14ac:dyDescent="0.2">
      <c r="B36" s="26">
        <v>26</v>
      </c>
      <c r="C36" s="16">
        <v>27</v>
      </c>
      <c r="D36" s="16" t="s">
        <v>34</v>
      </c>
      <c r="E36" s="16" t="s">
        <v>59</v>
      </c>
      <c r="F36" s="19" t="s">
        <v>30</v>
      </c>
      <c r="G36" s="47">
        <f>Tabelle2[[#This Row],[id]]</f>
        <v>27</v>
      </c>
    </row>
    <row r="37" spans="2:7" x14ac:dyDescent="0.2">
      <c r="B37" s="27">
        <v>27</v>
      </c>
      <c r="C37" s="28">
        <v>28</v>
      </c>
      <c r="D37" s="28" t="s">
        <v>76</v>
      </c>
      <c r="E37" s="28" t="s">
        <v>59</v>
      </c>
      <c r="F37" s="29" t="s">
        <v>30</v>
      </c>
      <c r="G37" s="47">
        <f>Tabelle2[[#This Row],[id]]</f>
        <v>28</v>
      </c>
    </row>
    <row r="38" spans="2:7" x14ac:dyDescent="0.2">
      <c r="B38" s="26">
        <v>28</v>
      </c>
      <c r="C38" s="16">
        <v>29</v>
      </c>
      <c r="D38" s="16" t="s">
        <v>37</v>
      </c>
      <c r="E38" s="16" t="s">
        <v>59</v>
      </c>
      <c r="F38" s="19" t="s">
        <v>30</v>
      </c>
      <c r="G38" s="47">
        <f>Tabelle2[[#This Row],[id]]</f>
        <v>29</v>
      </c>
    </row>
    <row r="39" spans="2:7" x14ac:dyDescent="0.2">
      <c r="B39" s="26">
        <v>29</v>
      </c>
      <c r="C39" s="16">
        <v>30</v>
      </c>
      <c r="D39" s="16" t="s">
        <v>36</v>
      </c>
      <c r="E39" s="16" t="s">
        <v>59</v>
      </c>
      <c r="F39" s="19" t="s">
        <v>30</v>
      </c>
      <c r="G39" s="47">
        <f>Tabelle2[[#This Row],[id]]</f>
        <v>30</v>
      </c>
    </row>
    <row r="40" spans="2:7" x14ac:dyDescent="0.2">
      <c r="B40" s="26">
        <v>30</v>
      </c>
      <c r="C40" s="16">
        <v>31</v>
      </c>
      <c r="D40" s="16" t="s">
        <v>40</v>
      </c>
      <c r="E40" s="16" t="s">
        <v>59</v>
      </c>
      <c r="F40" s="19" t="s">
        <v>30</v>
      </c>
      <c r="G40" s="47">
        <f>Tabelle2[[#This Row],[id]]</f>
        <v>31</v>
      </c>
    </row>
    <row r="41" spans="2:7" x14ac:dyDescent="0.2">
      <c r="B41" s="26">
        <v>31</v>
      </c>
      <c r="C41" s="16">
        <v>34</v>
      </c>
      <c r="D41" s="16" t="s">
        <v>78</v>
      </c>
      <c r="E41" s="16" t="s">
        <v>59</v>
      </c>
      <c r="F41" s="19" t="s">
        <v>30</v>
      </c>
      <c r="G41" s="47">
        <f>Tabelle2[[#This Row],[id]]</f>
        <v>34</v>
      </c>
    </row>
    <row r="42" spans="2:7" x14ac:dyDescent="0.2">
      <c r="B42" s="26">
        <v>32</v>
      </c>
      <c r="C42" s="16">
        <v>37</v>
      </c>
      <c r="D42" s="16" t="s">
        <v>81</v>
      </c>
      <c r="E42" s="16" t="s">
        <v>59</v>
      </c>
      <c r="F42" s="19" t="s">
        <v>30</v>
      </c>
      <c r="G42" s="47">
        <f>Tabelle2[[#This Row],[id]]</f>
        <v>37</v>
      </c>
    </row>
    <row r="43" spans="2:7" x14ac:dyDescent="0.2">
      <c r="B43" s="18">
        <v>33</v>
      </c>
      <c r="C43" s="17">
        <v>18</v>
      </c>
      <c r="D43" s="16" t="s">
        <v>21</v>
      </c>
      <c r="E43" s="16" t="s">
        <v>60</v>
      </c>
      <c r="F43" s="19" t="s">
        <v>59</v>
      </c>
      <c r="G43" s="47">
        <f>Tabelle2[[#This Row],[id]]</f>
        <v>18</v>
      </c>
    </row>
    <row r="44" spans="2:7" x14ac:dyDescent="0.2">
      <c r="B44" s="23">
        <v>34</v>
      </c>
      <c r="C44" s="24">
        <v>25</v>
      </c>
      <c r="D44" s="28" t="s">
        <v>27</v>
      </c>
      <c r="E44" s="28" t="s">
        <v>60</v>
      </c>
      <c r="F44" s="29" t="s">
        <v>59</v>
      </c>
      <c r="G44" s="47">
        <f>Tabelle2[[#This Row],[id]]</f>
        <v>25</v>
      </c>
    </row>
    <row r="45" spans="2:7" x14ac:dyDescent="0.2">
      <c r="B45" s="26">
        <v>35</v>
      </c>
      <c r="C45" s="16">
        <v>32</v>
      </c>
      <c r="D45" s="16" t="s">
        <v>26</v>
      </c>
      <c r="E45" s="16" t="s">
        <v>60</v>
      </c>
      <c r="F45" s="29" t="s">
        <v>59</v>
      </c>
      <c r="G45" s="47">
        <f>Tabelle2[[#This Row],[id]]</f>
        <v>32</v>
      </c>
    </row>
    <row r="46" spans="2:7" x14ac:dyDescent="0.2">
      <c r="B46" s="26">
        <v>36</v>
      </c>
      <c r="C46" s="16">
        <v>33</v>
      </c>
      <c r="D46" s="16" t="s">
        <v>77</v>
      </c>
      <c r="E46" s="16" t="s">
        <v>60</v>
      </c>
      <c r="F46" s="29" t="s">
        <v>59</v>
      </c>
      <c r="G46" s="47">
        <f>Tabelle2[[#This Row],[id]]</f>
        <v>33</v>
      </c>
    </row>
    <row r="47" spans="2:7" x14ac:dyDescent="0.2">
      <c r="B47" s="26">
        <v>37</v>
      </c>
      <c r="C47" s="16">
        <v>35</v>
      </c>
      <c r="D47" s="16" t="s">
        <v>79</v>
      </c>
      <c r="E47" s="16" t="s">
        <v>60</v>
      </c>
      <c r="F47" s="29" t="s">
        <v>59</v>
      </c>
      <c r="G47" s="47">
        <f>Tabelle2[[#This Row],[id]]</f>
        <v>35</v>
      </c>
    </row>
    <row r="48" spans="2:7" x14ac:dyDescent="0.2">
      <c r="B48" s="26">
        <v>38</v>
      </c>
      <c r="C48" s="16">
        <v>36</v>
      </c>
      <c r="D48" s="16" t="s">
        <v>80</v>
      </c>
      <c r="E48" s="16" t="s">
        <v>60</v>
      </c>
      <c r="F48" s="29" t="s">
        <v>59</v>
      </c>
      <c r="G48" s="47">
        <f>Tabelle2[[#This Row],[id]]</f>
        <v>36</v>
      </c>
    </row>
    <row r="49" spans="2:7" x14ac:dyDescent="0.2">
      <c r="B49" s="26">
        <v>39</v>
      </c>
      <c r="C49" s="16">
        <v>42</v>
      </c>
      <c r="D49" s="16" t="s">
        <v>82</v>
      </c>
      <c r="E49" s="16" t="s">
        <v>60</v>
      </c>
      <c r="F49" s="29" t="s">
        <v>59</v>
      </c>
      <c r="G49" s="47">
        <f>Tabelle2[[#This Row],[id]]</f>
        <v>42</v>
      </c>
    </row>
    <row r="50" spans="2:7" x14ac:dyDescent="0.2">
      <c r="B50" s="26">
        <v>40</v>
      </c>
      <c r="C50" s="16">
        <v>38</v>
      </c>
      <c r="D50" s="16" t="s">
        <v>24</v>
      </c>
      <c r="E50" s="16" t="s">
        <v>60</v>
      </c>
      <c r="F50" s="29" t="s">
        <v>59</v>
      </c>
      <c r="G50" s="47">
        <f>Tabelle2[[#This Row],[id]]</f>
        <v>38</v>
      </c>
    </row>
    <row r="51" spans="2:7" x14ac:dyDescent="0.2">
      <c r="B51" s="26">
        <v>41</v>
      </c>
      <c r="C51" s="16">
        <v>39</v>
      </c>
      <c r="D51" s="16" t="s">
        <v>25</v>
      </c>
      <c r="E51" s="16" t="s">
        <v>60</v>
      </c>
      <c r="F51" s="29" t="s">
        <v>59</v>
      </c>
      <c r="G51" s="47">
        <f>Tabelle2[[#This Row],[id]]</f>
        <v>39</v>
      </c>
    </row>
    <row r="52" spans="2:7" x14ac:dyDescent="0.2">
      <c r="B52" s="26">
        <v>42</v>
      </c>
      <c r="C52" s="16">
        <v>43</v>
      </c>
      <c r="D52" s="16" t="s">
        <v>83</v>
      </c>
      <c r="E52" s="16" t="s">
        <v>60</v>
      </c>
      <c r="F52" s="19" t="s">
        <v>59</v>
      </c>
      <c r="G52" s="47">
        <f>Tabelle2[[#This Row],[id]]</f>
        <v>43</v>
      </c>
    </row>
    <row r="53" spans="2:7" x14ac:dyDescent="0.2">
      <c r="B53" s="26">
        <v>43</v>
      </c>
      <c r="C53" s="16">
        <v>46</v>
      </c>
      <c r="D53" s="16" t="s">
        <v>23</v>
      </c>
      <c r="E53" s="16" t="s">
        <v>60</v>
      </c>
      <c r="F53" s="19" t="s">
        <v>59</v>
      </c>
      <c r="G53" s="47">
        <f>Tabelle2[[#This Row],[id]]</f>
        <v>46</v>
      </c>
    </row>
    <row r="54" spans="2:7" x14ac:dyDescent="0.2">
      <c r="B54" s="26">
        <v>44</v>
      </c>
      <c r="C54" s="16">
        <v>40</v>
      </c>
      <c r="D54" s="16" t="s">
        <v>28</v>
      </c>
      <c r="E54" s="16" t="s">
        <v>60</v>
      </c>
      <c r="F54" s="19" t="s">
        <v>59</v>
      </c>
      <c r="G54" s="47">
        <f>Tabelle2[[#This Row],[id]]</f>
        <v>40</v>
      </c>
    </row>
    <row r="55" spans="2:7" x14ac:dyDescent="0.2">
      <c r="B55" s="26">
        <v>45</v>
      </c>
      <c r="C55" s="16">
        <v>41</v>
      </c>
      <c r="D55" s="16" t="s">
        <v>41</v>
      </c>
      <c r="E55" s="16" t="s">
        <v>60</v>
      </c>
      <c r="F55" s="19" t="s">
        <v>59</v>
      </c>
      <c r="G55" s="47">
        <f>Tabelle2[[#This Row],[id]]</f>
        <v>41</v>
      </c>
    </row>
    <row r="56" spans="2:7" x14ac:dyDescent="0.2">
      <c r="B56" s="26">
        <v>46</v>
      </c>
      <c r="C56" s="16">
        <v>44</v>
      </c>
      <c r="D56" s="16" t="s">
        <v>84</v>
      </c>
      <c r="E56" s="16" t="s">
        <v>60</v>
      </c>
      <c r="F56" s="19" t="s">
        <v>59</v>
      </c>
      <c r="G56" s="47">
        <f>Tabelle2[[#This Row],[id]]</f>
        <v>44</v>
      </c>
    </row>
    <row r="57" spans="2:7" x14ac:dyDescent="0.2">
      <c r="B57" s="26">
        <v>47</v>
      </c>
      <c r="C57" s="16">
        <v>45</v>
      </c>
      <c r="D57" s="16" t="s">
        <v>85</v>
      </c>
      <c r="E57" s="16" t="s">
        <v>60</v>
      </c>
      <c r="F57" s="19" t="s">
        <v>59</v>
      </c>
      <c r="G57" s="47">
        <f>Tabelle2[[#This Row],[id]]</f>
        <v>45</v>
      </c>
    </row>
  </sheetData>
  <conditionalFormatting sqref="C11:F57">
    <cfRule type="expression" dxfId="24" priority="1">
      <formula>IF(AND($E11=$E$11,$F11=$F$13),1,0)</formula>
    </cfRule>
    <cfRule type="expression" dxfId="23" priority="2">
      <formula>IF(AND($E11=$E$12,$F11=$F$14),1,0)</formula>
    </cfRule>
    <cfRule type="expression" dxfId="22" priority="3">
      <formula>IF(AND($E11=$E$11,$F11=$F$12),1,0)</formula>
    </cfRule>
    <cfRule type="expression" dxfId="21" priority="4">
      <formula>IF(AND($E11=$E$10,$F11=$F$12),1,0)</formula>
    </cfRule>
    <cfRule type="expression" dxfId="20" priority="5">
      <formula>IF(AND($E11=$E$11,$F11=$F$11),1,0)</formula>
    </cfRule>
    <cfRule type="expression" dxfId="19" priority="6">
      <formula>IF(AND($E11=$E$10,$F11=$F$14),1,0)</formula>
    </cfRule>
    <cfRule type="expression" dxfId="18" priority="7">
      <formula>IF(AND($E11=$E$10,$F11=$F$10),1,0)</formula>
    </cfRule>
  </conditionalFormatting>
  <dataValidations count="2">
    <dataValidation type="list" allowBlank="1" showInputMessage="1" showErrorMessage="1" sqref="F11:F57">
      <formula1>$F$10:$F$14</formula1>
    </dataValidation>
    <dataValidation type="list" allowBlank="1" showInputMessage="1" showErrorMessage="1" sqref="E11:E57">
      <formula1>$E$10:$E$14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myLT</vt:lpstr>
      <vt:lpstr>myVault</vt:lpstr>
      <vt:lpstr>AuctionCalc</vt:lpstr>
      <vt:lpstr>PoolPairs</vt:lpstr>
      <vt:lpstr>Prices</vt:lpstr>
      <vt:lpstr>Stats</vt:lpstr>
      <vt:lpstr>Address</vt:lpstr>
      <vt:lpstr>BTCEur</vt:lpstr>
      <vt:lpstr>Vaults</vt:lpstr>
      <vt:lpstr>VaultCalc</vt:lpstr>
      <vt:lpstr>Data1</vt:lpstr>
      <vt:lpstr>Data2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2022-01-12T11:39:58Z</dcterms:created>
  <dcterms:modified xsi:type="dcterms:W3CDTF">2022-02-04T09:18:00Z</dcterms:modified>
</cp:coreProperties>
</file>